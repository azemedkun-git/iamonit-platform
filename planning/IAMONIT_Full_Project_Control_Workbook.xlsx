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andu_zed/Desktop/IAMONIT/iamonit-platform/planning/"/>
    </mc:Choice>
  </mc:AlternateContent>
  <xr:revisionPtr revIDLastSave="0" documentId="13_ncr:1_{A36D3FCF-31B5-2542-9119-558448E42844}" xr6:coauthVersionLast="47" xr6:coauthVersionMax="47" xr10:uidLastSave="{00000000-0000-0000-0000-000000000000}"/>
  <bookViews>
    <workbookView xWindow="0" yWindow="660" windowWidth="34560" windowHeight="20060" activeTab="3" xr2:uid="{00000000-000D-0000-FFFF-FFFF00000000}"/>
  </bookViews>
  <sheets>
    <sheet name="Start Here" sheetId="1" r:id="rId1"/>
    <sheet name="Dashboard" sheetId="2" r:id="rId2"/>
    <sheet name="Backlog" sheetId="3" r:id="rId3"/>
    <sheet name="Sprint Board" sheetId="4" r:id="rId4"/>
    <sheet name="Timeline + Gantt" sheetId="5" r:id="rId5"/>
    <sheet name="Dependencies" sheetId="6" r:id="rId6"/>
    <sheet name="IntelliJ Coding Tasks" sheetId="7" r:id="rId7"/>
    <sheet name="File-Class Map" sheetId="8" r:id="rId8"/>
    <sheet name="API Contracts" sheetId="9" r:id="rId9"/>
    <sheet name="DB Schema + RLS" sheetId="10" r:id="rId10"/>
    <sheet name="UI Screens" sheetId="11" r:id="rId11"/>
    <sheet name="Risks &amp; Decisions" sheetId="12" r:id="rId12"/>
    <sheet name="Release Checklist" sheetId="13" r:id="rId13"/>
  </sheets>
  <definedNames>
    <definedName name="_xlnm._FilterDatabase" localSheetId="8" hidden="1">'API Contracts'!$A$1:$G$14</definedName>
    <definedName name="_xlnm._FilterDatabase" localSheetId="2" hidden="1">Backlog!$A$1:$P$74</definedName>
    <definedName name="_xlnm._FilterDatabase" localSheetId="9" hidden="1">'DB Schema + RLS'!$A$1:$F$12</definedName>
    <definedName name="_xlnm._FilterDatabase" localSheetId="5" hidden="1">Dependencies!$A$1:$F$71</definedName>
    <definedName name="_xlnm._FilterDatabase" localSheetId="7" hidden="1">'File-Class Map'!$A$1:$E$46</definedName>
    <definedName name="_xlnm._FilterDatabase" localSheetId="6" hidden="1">'IntelliJ Coding Tasks'!$A$1:$I$50</definedName>
    <definedName name="_xlnm._FilterDatabase" localSheetId="12" hidden="1">'Release Checklist'!$A$1:$F$11</definedName>
    <definedName name="_xlnm._FilterDatabase" localSheetId="11" hidden="1">'Risks &amp; Decisions'!$A$1:$G$7</definedName>
    <definedName name="_xlnm._FilterDatabase" localSheetId="3" hidden="1">'Sprint Board'!$A$1:$J$74</definedName>
    <definedName name="_xlnm._FilterDatabase" localSheetId="4" hidden="1">'Timeline + Gantt'!$A$1:$AX$71</definedName>
    <definedName name="_xlnm._FilterDatabase" localSheetId="10" hidden="1">'UI Screens'!$A$1:$H$12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71" i="6" l="1"/>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E20" i="2"/>
  <c r="D20" i="2"/>
  <c r="C20" i="2"/>
  <c r="B20" i="2"/>
  <c r="E19" i="2"/>
  <c r="D19" i="2"/>
  <c r="C19" i="2"/>
  <c r="B19" i="2"/>
  <c r="E18" i="2"/>
  <c r="D18" i="2"/>
  <c r="C18" i="2"/>
  <c r="B18" i="2"/>
  <c r="E17" i="2"/>
  <c r="D17" i="2"/>
  <c r="C17" i="2"/>
  <c r="F17" i="2" s="1"/>
  <c r="B17" i="2"/>
  <c r="I16" i="2"/>
  <c r="E16" i="2"/>
  <c r="D16" i="2"/>
  <c r="C16" i="2"/>
  <c r="B16" i="2"/>
  <c r="I15" i="2"/>
  <c r="E15" i="2"/>
  <c r="D15" i="2"/>
  <c r="C15" i="2"/>
  <c r="B15" i="2"/>
  <c r="I14" i="2"/>
  <c r="E14" i="2"/>
  <c r="D14" i="2"/>
  <c r="C14" i="2"/>
  <c r="B14" i="2"/>
  <c r="I13" i="2"/>
  <c r="E13" i="2"/>
  <c r="D13" i="2"/>
  <c r="C13" i="2"/>
  <c r="B13" i="2"/>
  <c r="I12" i="2"/>
  <c r="E12" i="2"/>
  <c r="D12" i="2"/>
  <c r="C12" i="2"/>
  <c r="B12" i="2"/>
  <c r="G8" i="2"/>
  <c r="D8" i="2"/>
  <c r="A8" i="2"/>
  <c r="G5" i="2"/>
  <c r="D5" i="2"/>
  <c r="A5" i="2"/>
  <c r="F16" i="2" l="1"/>
  <c r="F15" i="2"/>
  <c r="F12" i="2"/>
  <c r="F18" i="2"/>
  <c r="F13" i="2"/>
  <c r="F19" i="2"/>
  <c r="F14" i="2"/>
  <c r="F20" i="2"/>
</calcChain>
</file>

<file path=xl/sharedStrings.xml><?xml version="1.0" encoding="utf-8"?>
<sst xmlns="http://schemas.openxmlformats.org/spreadsheetml/2006/main" count="3396" uniqueCount="1048">
  <si>
    <t>IAMONIT Project Control Workbook</t>
  </si>
  <si>
    <t>Jira-style sprint board + dependencies/timeline + IntelliJ-ready coding tasks</t>
  </si>
  <si>
    <t>What this workbook gives you</t>
  </si>
  <si>
    <t>A practical replacement for Jira: backlog, sprint board, timeline, dependencies, architecture, coding tasks by file/class, API, DB, risks, and release checklist.</t>
  </si>
  <si>
    <t>How to use it</t>
  </si>
  <si>
    <t>Start from Dashboard, then manage work in Sprint Board and Backlog. Use Dependencies &amp; Timeline before assigning sprint dates. Use IntelliJ Coding Tasks when you are ready to code file-by-file.</t>
  </si>
  <si>
    <t>Suggested stack</t>
  </si>
  <si>
    <t>Next.js + Tailwind frontend, NestJS backend, PostgreSQL/Supabase, Supabase Storage/S3, JWT/RLS, Vercel + Railway/Render/AWS deployment.</t>
  </si>
  <si>
    <t>Status values</t>
  </si>
  <si>
    <t>Todo, In Progress, Blocked, Review, Done</t>
  </si>
  <si>
    <t>Project Dashboard</t>
  </si>
  <si>
    <t>High-level project health, sprint progress, and delivery controls</t>
  </si>
  <si>
    <t>Total Tasks</t>
  </si>
  <si>
    <t>Done</t>
  </si>
  <si>
    <t>In Progress</t>
  </si>
  <si>
    <t>Blocked</t>
  </si>
  <si>
    <t>Total Points</t>
  </si>
  <si>
    <t>Done Points</t>
  </si>
  <si>
    <t>Sprint</t>
  </si>
  <si>
    <t>Tasks</t>
  </si>
  <si>
    <t>Points</t>
  </si>
  <si>
    <t>Completion %</t>
  </si>
  <si>
    <t>Status</t>
  </si>
  <si>
    <t>Count</t>
  </si>
  <si>
    <t>Sprint 1</t>
  </si>
  <si>
    <t>Todo</t>
  </si>
  <si>
    <t>Sprint 2</t>
  </si>
  <si>
    <t>Sprint 3</t>
  </si>
  <si>
    <t>Sprint 4</t>
  </si>
  <si>
    <t>Review</t>
  </si>
  <si>
    <t>Sprint 5</t>
  </si>
  <si>
    <t>Sprint 6</t>
  </si>
  <si>
    <t>Sprint 7</t>
  </si>
  <si>
    <t>Sprint 8</t>
  </si>
  <si>
    <t>Sprint 9</t>
  </si>
  <si>
    <t>Task ID</t>
  </si>
  <si>
    <t>Epic</t>
  </si>
  <si>
    <t>Title</t>
  </si>
  <si>
    <t>Priority</t>
  </si>
  <si>
    <t>Story Points</t>
  </si>
  <si>
    <t>Description</t>
  </si>
  <si>
    <t>Acceptance Criteria</t>
  </si>
  <si>
    <t>Owner Role</t>
  </si>
  <si>
    <t>Start Date</t>
  </si>
  <si>
    <t>Duration Days</t>
  </si>
  <si>
    <t>End Date</t>
  </si>
  <si>
    <t>Dependencies</t>
  </si>
  <si>
    <t>Files / Classes</t>
  </si>
  <si>
    <t>Notes</t>
  </si>
  <si>
    <t>IAM-001</t>
  </si>
  <si>
    <t>Project Setup</t>
  </si>
  <si>
    <t>Initialize Git repositories</t>
  </si>
  <si>
    <t>Critical</t>
  </si>
  <si>
    <t>Create mono-repo or two repos for frontend/backend with branch rules.</t>
  </si>
  <si>
    <t>Repos created; README exists; main/dev branches; .gitignore committed</t>
  </si>
  <si>
    <t>DevOps</t>
  </si>
  <si>
    <t>/README.md; /.gitignore</t>
  </si>
  <si>
    <t>IAM-002</t>
  </si>
  <si>
    <t>Create Next.js app</t>
  </si>
  <si>
    <t>Frontend</t>
  </si>
  <si>
    <t>IAM-003</t>
  </si>
  <si>
    <t>Create NestJS backend</t>
  </si>
  <si>
    <t>Initialize NestJS TypeScript API service with modules folder.</t>
  </si>
  <si>
    <t>API starts locally; health endpoint returns OK; Swagger enabled</t>
  </si>
  <si>
    <t>Backend</t>
  </si>
  <si>
    <t>IAM-004</t>
  </si>
  <si>
    <t>Configure environment management</t>
  </si>
  <si>
    <t>High</t>
  </si>
  <si>
    <t>Create .env examples and config validation for frontend/backend.</t>
  </si>
  <si>
    <t>No secrets committed; env schema validates required values</t>
  </si>
  <si>
    <t>IAM-002,IAM-003</t>
  </si>
  <si>
    <t>IAM-005</t>
  </si>
  <si>
    <t>Setup code quality tools</t>
  </si>
  <si>
    <t>Add ESLint, Prettier, lint scripts, formatting rules.</t>
  </si>
  <si>
    <t>npm run lint passes; consistent formatting</t>
  </si>
  <si>
    <t>IAM-006</t>
  </si>
  <si>
    <t>Database Foundation</t>
  </si>
  <si>
    <t>Create Supabase project</t>
  </si>
  <si>
    <t>Provision Supabase project and connection settings.</t>
  </si>
  <si>
    <t>DB reachable; connection string configured; local migration flow documented</t>
  </si>
  <si>
    <t>Database</t>
  </si>
  <si>
    <t>supabase/config.toml</t>
  </si>
  <si>
    <t>IAM-007</t>
  </si>
  <si>
    <t>Create base audit trigger</t>
  </si>
  <si>
    <t>Add timestamptz audit fields and reusable trigger function.</t>
  </si>
  <si>
    <t>created_at/updated_at use timestamptz; trigger tested</t>
  </si>
  <si>
    <t>supabase/migrations/001_audit.sql</t>
  </si>
  <si>
    <t>IAM-008</t>
  </si>
  <si>
    <t>Auth</t>
  </si>
  <si>
    <t>Build auth DTOs and validation</t>
  </si>
  <si>
    <t>Create register/login DTOs with validation rules.</t>
  </si>
  <si>
    <t>Invalid payloads rejected; password/email rules enforced</t>
  </si>
  <si>
    <t>IAM-009</t>
  </si>
  <si>
    <t>Auth UI shell</t>
  </si>
  <si>
    <t>Create login/register pages with role selection.</t>
  </si>
  <si>
    <t>User can navigate between login/register; form validation visible</t>
  </si>
  <si>
    <t>IAM-010</t>
  </si>
  <si>
    <t>Multi-Tenant Schema</t>
  </si>
  <si>
    <t>Create tenants table</t>
  </si>
  <si>
    <t>Create tenants table with audit fields and unique name constraints.</t>
  </si>
  <si>
    <t>Migration applies; tenant can be inserted; RLS enabled</t>
  </si>
  <si>
    <t>supabase/migrations/010_tenants.sql</t>
  </si>
  <si>
    <t>IAM-011</t>
  </si>
  <si>
    <t>Create app_users table</t>
  </si>
  <si>
    <t>Create app user profile linked to Supabase auth.users.</t>
  </si>
  <si>
    <t>User profile linked to auth ID; role column constrained</t>
  </si>
  <si>
    <t>supabase/migrations/011_users.sql</t>
  </si>
  <si>
    <t>IAM-012</t>
  </si>
  <si>
    <t>Create transporter profiles table</t>
  </si>
  <si>
    <t>Store company/dispatch/broker information by tenant.</t>
  </si>
  <si>
    <t>Profile belongs to tenant; audit fields exist</t>
  </si>
  <si>
    <t>supabase/migrations/012_transporter_profiles.sql</t>
  </si>
  <si>
    <t>IAM-013</t>
  </si>
  <si>
    <t>Create car puller profiles table</t>
  </si>
  <si>
    <t>Store car puller name/photo/logo/phone details.</t>
  </si>
  <si>
    <t>Profile belongs to tenant/user; photo_url/logo_url supported</t>
  </si>
  <si>
    <t>supabase/migrations/013_car_puller_profiles.sql</t>
  </si>
  <si>
    <t>IAM-014</t>
  </si>
  <si>
    <t>Multi-Tenant Security</t>
  </si>
  <si>
    <t>Implement tenant RLS policies</t>
  </si>
  <si>
    <t>Add RLS policies for tenants, users, profiles.</t>
  </si>
  <si>
    <t>Tenant A cannot query Tenant B data; policy tests pass</t>
  </si>
  <si>
    <t>Security</t>
  </si>
  <si>
    <t>IAM-010,IAM-011,IAM-012,IAM-013</t>
  </si>
  <si>
    <t>supabase/migrations/014_rls_core.sql</t>
  </si>
  <si>
    <t>IAM-015</t>
  </si>
  <si>
    <t>Implement register company flow</t>
  </si>
  <si>
    <t>Backend creates tenant + first admin user.</t>
  </si>
  <si>
    <t>New transporter creates tenant; first user becomes admin</t>
  </si>
  <si>
    <t>IAM-008,IAM-010,IAM-011</t>
  </si>
  <si>
    <t>IAM-016</t>
  </si>
  <si>
    <t>Implement login flow</t>
  </si>
  <si>
    <t>Backend validates credentials and returns session/JWT context.</t>
  </si>
  <si>
    <t>Valid login works; invalid login returns safe error; tenant_id included</t>
  </si>
  <si>
    <t>IAM-008,IAM-011</t>
  </si>
  <si>
    <t>IAM-017</t>
  </si>
  <si>
    <t>Frontend Auth</t>
  </si>
  <si>
    <t>Connect login/register UI to API</t>
  </si>
  <si>
    <t>Wire forms to auth endpoints and store session safely.</t>
  </si>
  <si>
    <t>Successful login redirects; errors displayed; loading states exist</t>
  </si>
  <si>
    <t>IAM-009,IAM-015,IAM-016</t>
  </si>
  <si>
    <t>IAM-018</t>
  </si>
  <si>
    <t>Authorization</t>
  </si>
  <si>
    <t>Create auth guard and role guard</t>
  </si>
  <si>
    <t>Protect backend routes by JWT and roles.</t>
  </si>
  <si>
    <t>Unauthorized blocked; forbidden roles blocked</t>
  </si>
  <si>
    <t>IAM-019</t>
  </si>
  <si>
    <t>Tenant Invitations</t>
  </si>
  <si>
    <t>Create invitations table</t>
  </si>
  <si>
    <t>Store tenant invitations with token, role, email, expiry.</t>
  </si>
  <si>
    <t>Tokens unique; accepted flag supported; RLS enabled</t>
  </si>
  <si>
    <t>supabase/migrations/019_invitations.sql</t>
  </si>
  <si>
    <t>IAM-020</t>
  </si>
  <si>
    <t>Build invite user API</t>
  </si>
  <si>
    <t>Admin can invite dispatcher/car puller to tenant.</t>
  </si>
  <si>
    <t>Invite created; duplicate invite handled; admin only</t>
  </si>
  <si>
    <t>IAM-018,IAM-019</t>
  </si>
  <si>
    <t>IAM-021</t>
  </si>
  <si>
    <t>Build accept invitation API</t>
  </si>
  <si>
    <t>User can accept invitation and join tenant.</t>
  </si>
  <si>
    <t>Valid token assigns tenant; expired token rejected</t>
  </si>
  <si>
    <t>IAM-022</t>
  </si>
  <si>
    <t>User Management</t>
  </si>
  <si>
    <t>Build users list API</t>
  </si>
  <si>
    <t>Admin can list users in same tenant.</t>
  </si>
  <si>
    <t>Only tenant users returned; pagination exists</t>
  </si>
  <si>
    <t>IAM-023</t>
  </si>
  <si>
    <t>Build user management UI</t>
  </si>
  <si>
    <t>Medium</t>
  </si>
  <si>
    <t>Users page with invite modal and role display.</t>
  </si>
  <si>
    <t>Admin sees users; invite modal works; validation shown</t>
  </si>
  <si>
    <t>IAM-017,IAM-020,IAM-022</t>
  </si>
  <si>
    <t>IAM-024</t>
  </si>
  <si>
    <t>Layout</t>
  </si>
  <si>
    <t>Create dashboard layout</t>
  </si>
  <si>
    <t>Sidebar, topbar, tenant name, user menu, responsive layout.</t>
  </si>
  <si>
    <t>Mobile and desktop usable; navigation links work</t>
  </si>
  <si>
    <t>IAM-025</t>
  </si>
  <si>
    <t>Profile</t>
  </si>
  <si>
    <t>Build transporter profile API/UI</t>
  </si>
  <si>
    <t>Allow admin to view/update company dispatch and broker info.</t>
  </si>
  <si>
    <t>Profile saves; audit fields update; tenant isolated</t>
  </si>
  <si>
    <t>Fullstack</t>
  </si>
  <si>
    <t>IAM-012,IAM-018,IAM-024</t>
  </si>
  <si>
    <t>IAM-026</t>
  </si>
  <si>
    <t>Tasks Schema</t>
  </si>
  <si>
    <t>Create tasks table</t>
  </si>
  <si>
    <t>Create tasks/work_orders table with status, assigned_to, notes.</t>
  </si>
  <si>
    <t>Migration applies; status constrained; tenant_id indexed</t>
  </si>
  <si>
    <t>supabase/migrations/026_tasks.sql</t>
  </si>
  <si>
    <t>IAM-027</t>
  </si>
  <si>
    <t>Create task status history table</t>
  </si>
  <si>
    <t>Store status changes for audit/timeline.</t>
  </si>
  <si>
    <t>Every status change can be recorded; user and timestamp stored</t>
  </si>
  <si>
    <t>supabase/migrations/027_task_status_history.sql</t>
  </si>
  <si>
    <t>IAM-028</t>
  </si>
  <si>
    <t>Tasks API</t>
  </si>
  <si>
    <t>Create task DTOs</t>
  </si>
  <si>
    <t>Define create/update/status DTOs with validation.</t>
  </si>
  <si>
    <t>DTO validation rejects bad status or missing required fields</t>
  </si>
  <si>
    <t>IAM-029</t>
  </si>
  <si>
    <t>Build create task API</t>
  </si>
  <si>
    <t>Transporter creates task/work order and assigns car puller.</t>
  </si>
  <si>
    <t>Task created; assigned user must be in tenant; response includes task ID</t>
  </si>
  <si>
    <t>IAM-018,IAM-026,IAM-028</t>
  </si>
  <si>
    <t>IAM-030</t>
  </si>
  <si>
    <t>Build task listing API</t>
  </si>
  <si>
    <t>Return tasks filtered by tenant and role.</t>
  </si>
  <si>
    <t>Transporter sees tenant tasks; car puller sees assigned tasks only</t>
  </si>
  <si>
    <t>IAM-031</t>
  </si>
  <si>
    <t>Build task detail API</t>
  </si>
  <si>
    <t>Return task, assignee, updates, history.</t>
  </si>
  <si>
    <t>Only authorized tenant users can view; missing task returns 404</t>
  </si>
  <si>
    <t>IAM-032</t>
  </si>
  <si>
    <t>Build status transition API</t>
  </si>
  <si>
    <t>Allow pending→accepted→in_progress→paused/completed→closed rules.</t>
  </si>
  <si>
    <t>Invalid transitions rejected; history row created</t>
  </si>
  <si>
    <t>IAM-027,IAM-031</t>
  </si>
  <si>
    <t>IAM-033</t>
  </si>
  <si>
    <t>Tasks UI</t>
  </si>
  <si>
    <t>Build task list page</t>
  </si>
  <si>
    <t>Task board/list with status filters and priority badges.</t>
  </si>
  <si>
    <t>Filters work; pagination/search works; tenant data only</t>
  </si>
  <si>
    <t>IAM-024,IAM-030</t>
  </si>
  <si>
    <t>IAM-034</t>
  </si>
  <si>
    <t>Build create task page</t>
  </si>
  <si>
    <t>Form for work order, notes, selected car puller, priority.</t>
  </si>
  <si>
    <t>Form validates; task created; redirects to detail</t>
  </si>
  <si>
    <t>IAM-023,IAM-029</t>
  </si>
  <si>
    <t>IAM-035</t>
  </si>
  <si>
    <t>Build task detail page</t>
  </si>
  <si>
    <t>Show task info, status, assignment, and timeline placeholder.</t>
  </si>
  <si>
    <t>Task detail loads; status actions visible by role</t>
  </si>
  <si>
    <t>IAM-031,IAM-033</t>
  </si>
  <si>
    <t>IAM-036</t>
  </si>
  <si>
    <t>Storage</t>
  </si>
  <si>
    <t>Create storage buckets and policies</t>
  </si>
  <si>
    <t>Configure work-orders, task-media, profile-images buckets.</t>
  </si>
  <si>
    <t>Bucket policies isolate tenant paths; size/type rules documented</t>
  </si>
  <si>
    <t>supabase/storage policies; supabase/migrations/036_storage.sql</t>
  </si>
  <si>
    <t>IAM-037</t>
  </si>
  <si>
    <t>Uploads API</t>
  </si>
  <si>
    <t>Build signed upload URL API</t>
  </si>
  <si>
    <t>Backend returns signed upload URL for tenant-scoped object path.</t>
  </si>
  <si>
    <t>Only authorized files allowed; path includes tenant_id</t>
  </si>
  <si>
    <t>IAM-036,IAM-018</t>
  </si>
  <si>
    <t>IAM-038</t>
  </si>
  <si>
    <t>Build file metadata table/API</t>
  </si>
  <si>
    <t>Store file metadata linked to task/user.</t>
  </si>
  <si>
    <t>File metadata created; ownership tracked; RLS enabled</t>
  </si>
  <si>
    <t>IAM-039</t>
  </si>
  <si>
    <t>Uploads UI</t>
  </si>
  <si>
    <t>Build reusable upload component</t>
  </si>
  <si>
    <t>Drag/drop or button upload with progress and validation.</t>
  </si>
  <si>
    <t>PDF/image/video upload; progress bar; errors visible</t>
  </si>
  <si>
    <t>IAM-040</t>
  </si>
  <si>
    <t>Task Updates</t>
  </si>
  <si>
    <t>Create task updates table</t>
  </si>
  <si>
    <t>Support note/image/video update records by task.</t>
  </si>
  <si>
    <t>Updates linked to task/tenant/user; timestamp stored</t>
  </si>
  <si>
    <t>IAM-026,IAM-038</t>
  </si>
  <si>
    <t>supabase/migrations/040_task_updates.sql</t>
  </si>
  <si>
    <t>IAM-041</t>
  </si>
  <si>
    <t>Build create task update API</t>
  </si>
  <si>
    <t>Car puller/transporter can add notes or media updates.</t>
  </si>
  <si>
    <t>Update saved; linked files validated; unauthorized blocked</t>
  </si>
  <si>
    <t>IAM-042</t>
  </si>
  <si>
    <t>Build task timeline UI</t>
  </si>
  <si>
    <t>Display notes, photos, videos, status history in chronological feed.</t>
  </si>
  <si>
    <t>Timeline sorted; media preview; user names visible</t>
  </si>
  <si>
    <t>IAM-035,IAM-039,IAM-041</t>
  </si>
  <si>
    <t>IAM-043</t>
  </si>
  <si>
    <t>Build car puller execution screen</t>
  </si>
  <si>
    <t>Mobile-first accept/start/pause/complete with upload proof.</t>
  </si>
  <si>
    <t>Large buttons; works on phone; status rules enforced</t>
  </si>
  <si>
    <t>IAM-032,IAM-042</t>
  </si>
  <si>
    <t>IAM-044</t>
  </si>
  <si>
    <t>Notifications</t>
  </si>
  <si>
    <t>Create notifications table</t>
  </si>
  <si>
    <t>Persist notifications by tenant/user/type/read state.</t>
  </si>
  <si>
    <t>Unread count queryable; RLS enabled</t>
  </si>
  <si>
    <t>supabase/migrations/044_notifications.sql</t>
  </si>
  <si>
    <t>IAM-045</t>
  </si>
  <si>
    <t>Build notification service</t>
  </si>
  <si>
    <t>Generate notifications for assigned/accepted/completed updates.</t>
  </si>
  <si>
    <t>Notifications created on task events; duplicate spam avoided</t>
  </si>
  <si>
    <t>IAM-032,IAM-044</t>
  </si>
  <si>
    <t>IAM-046</t>
  </si>
  <si>
    <t>Build notifications API</t>
  </si>
  <si>
    <t>List and mark notifications read.</t>
  </si>
  <si>
    <t>Unread/read works; users see only their notifications</t>
  </si>
  <si>
    <t>IAM-047</t>
  </si>
  <si>
    <t>Build notification dropdown UI</t>
  </si>
  <si>
    <t>Topbar notification bell with unread badge.</t>
  </si>
  <si>
    <t>Badge count correct; mark read works</t>
  </si>
  <si>
    <t>IAM-024,IAM-046</t>
  </si>
  <si>
    <t>IAM-048</t>
  </si>
  <si>
    <t>Dashboard</t>
  </si>
  <si>
    <t>Build transporter dashboard</t>
  </si>
  <si>
    <t>Cards for active/completed/pending tasks and recent updates.</t>
  </si>
  <si>
    <t>KPIs accurate; recent task list links to detail</t>
  </si>
  <si>
    <t>IAM-030,IAM-042</t>
  </si>
  <si>
    <t>IAM-049</t>
  </si>
  <si>
    <t>Build car puller dashboard</t>
  </si>
  <si>
    <t>My pending/active/completed tasks with quick actions.</t>
  </si>
  <si>
    <t>Assigned tasks only; action buttons work</t>
  </si>
  <si>
    <t>IAM-050</t>
  </si>
  <si>
    <t>Search &amp; Filters</t>
  </si>
  <si>
    <t>Implement task search/filter API</t>
  </si>
  <si>
    <t>Search by task ID, company, car puller, status, date range.</t>
  </si>
  <si>
    <t>Filters combine correctly; pagination still works</t>
  </si>
  <si>
    <t>IAM-051</t>
  </si>
  <si>
    <t>Implement frontend filters</t>
  </si>
  <si>
    <t>Add task status/search/date filters to task list.</t>
  </si>
  <si>
    <t>Filters update list; clear filters works</t>
  </si>
  <si>
    <t>IAM-050,IAM-033</t>
  </si>
  <si>
    <t>IAM-052</t>
  </si>
  <si>
    <t>Audit</t>
  </si>
  <si>
    <t>Apply audit triggers to all tables</t>
  </si>
  <si>
    <t>Ensure created_by/updated_by/created_at/updated_at across schema.</t>
  </si>
  <si>
    <t>All core tables audited; timestamptz used; tests pass</t>
  </si>
  <si>
    <t>IAM-007,IAM-040,IAM-044</t>
  </si>
  <si>
    <t>supabase/migrations/052_apply_audit.sql</t>
  </si>
  <si>
    <t>IAM-053</t>
  </si>
  <si>
    <t>Create audit logs table</t>
  </si>
  <si>
    <t>Record sensitive business events and changes.</t>
  </si>
  <si>
    <t>Audit logs created for task close/profile changes/invites</t>
  </si>
  <si>
    <t>supabase/migrations/053_audit_logs.sql</t>
  </si>
  <si>
    <t>IAM-054</t>
  </si>
  <si>
    <t>Security hardening review</t>
  </si>
  <si>
    <t>Review RLS, role guards, file policies, input validation.</t>
  </si>
  <si>
    <t>No known cross-tenant access; checklist completed</t>
  </si>
  <si>
    <t>IAM-014,IAM-018,IAM-036,IAM-052</t>
  </si>
  <si>
    <t>security/checklists/tenant-security.md</t>
  </si>
  <si>
    <t>IAM-055</t>
  </si>
  <si>
    <t>Testing</t>
  </si>
  <si>
    <t>Backend unit tests for auth/tenant</t>
  </si>
  <si>
    <t>Test register/login/tenant isolation guards.</t>
  </si>
  <si>
    <t>Tests pass in CI; critical auth paths covered</t>
  </si>
  <si>
    <t>QA</t>
  </si>
  <si>
    <t>IAM-016,IAM-018</t>
  </si>
  <si>
    <t>IAM-056</t>
  </si>
  <si>
    <t>Backend tests for tasks/uploads</t>
  </si>
  <si>
    <t>Test task CRUD/status/upload metadata.</t>
  </si>
  <si>
    <t>Status transitions and upload validation covered</t>
  </si>
  <si>
    <t>IAM-032,IAM-041</t>
  </si>
  <si>
    <t>IAM-057</t>
  </si>
  <si>
    <t>Frontend component tests</t>
  </si>
  <si>
    <t>Test login, create task, task detail, upload component.</t>
  </si>
  <si>
    <t>Critical components covered; tests pass</t>
  </si>
  <si>
    <t>IAM-039,IAM-042</t>
  </si>
  <si>
    <t>IAM-058</t>
  </si>
  <si>
    <t>End-to-end MVP flow test</t>
  </si>
  <si>
    <t>Test transporter creates task and car puller completes it.</t>
  </si>
  <si>
    <t>E2E passes; screenshots/videos generated if failing</t>
  </si>
  <si>
    <t>IAM-043,IAM-048,IAM-049</t>
  </si>
  <si>
    <t>e2e/iamonit-mvp.spec.ts</t>
  </si>
  <si>
    <t>IAM-059</t>
  </si>
  <si>
    <t>Deployment</t>
  </si>
  <si>
    <t>Setup GitHub Actions CI</t>
  </si>
  <si>
    <t>Lint/test/build frontend and backend on PR.</t>
  </si>
  <si>
    <t>CI passes; failed tests block merge</t>
  </si>
  <si>
    <t>IAM-055,IAM-057</t>
  </si>
  <si>
    <t>/.github/workflows/ci.yml</t>
  </si>
  <si>
    <t>IAM-060</t>
  </si>
  <si>
    <t>Deploy frontend to Vercel</t>
  </si>
  <si>
    <t>Connect frontend repo, env vars, preview deployments.</t>
  </si>
  <si>
    <t>Production URL live; preview deploys work</t>
  </si>
  <si>
    <t>vercel.json; frontend env</t>
  </si>
  <si>
    <t>IAM-061</t>
  </si>
  <si>
    <t>Deploy backend API</t>
  </si>
  <si>
    <t>Deploy NestJS API to Railway/Render/EC2.</t>
  </si>
  <si>
    <t>API URL live; health endpoint OK; env vars secure</t>
  </si>
  <si>
    <t>IAM-062</t>
  </si>
  <si>
    <t>Configure production Supabase</t>
  </si>
  <si>
    <t>Apply migrations, storage policies, RLS in production.</t>
  </si>
  <si>
    <t>Prod DB ready; backups enabled; policies verified</t>
  </si>
  <si>
    <t>IAM-054,IAM-061</t>
  </si>
  <si>
    <t>supabase migrations</t>
  </si>
  <si>
    <t>IAM-063</t>
  </si>
  <si>
    <t>Connect frontend to production API</t>
  </si>
  <si>
    <t>Configure CORS, env variables, auth redirect URLs.</t>
  </si>
  <si>
    <t>Frontend can login/register/create tasks in prod</t>
  </si>
  <si>
    <t>IAM-060,IAM-061,IAM-062</t>
  </si>
  <si>
    <t>frontend env; backend CORS config</t>
  </si>
  <si>
    <t>IAM-064</t>
  </si>
  <si>
    <t>Release</t>
  </si>
  <si>
    <t>Create MVP release checklist</t>
  </si>
  <si>
    <t>Prepare go-live checklist and rollback plan.</t>
  </si>
  <si>
    <t>Checklist complete; smoke tests signed off</t>
  </si>
  <si>
    <t>Product</t>
  </si>
  <si>
    <t>IAM-058,IAM-063</t>
  </si>
  <si>
    <t>release/mvp-checklist.md</t>
  </si>
  <si>
    <t>IAM-065</t>
  </si>
  <si>
    <t>User onboarding documentation</t>
  </si>
  <si>
    <t>Create simple docs for transporter and car puller users.</t>
  </si>
  <si>
    <t>Docs include screenshots and basic workflow</t>
  </si>
  <si>
    <t>docs/user-guide.md</t>
  </si>
  <si>
    <t>IAM-066</t>
  </si>
  <si>
    <t>Future Payments</t>
  </si>
  <si>
    <t>Design payment model</t>
  </si>
  <si>
    <t>Decide subscription/per-task/manual payment flow.</t>
  </si>
  <si>
    <t>Payment decision documented; Stripe/manual options compared</t>
  </si>
  <si>
    <t>docs/payments-design.md</t>
  </si>
  <si>
    <t>IAM-067</t>
  </si>
  <si>
    <t>Create payments schema</t>
  </si>
  <si>
    <t>Tables for payment status, amount, method, reference.</t>
  </si>
  <si>
    <t>Schema supports manual paid/closed flow first</t>
  </si>
  <si>
    <t>supabase/migrations/067_payments.sql</t>
  </si>
  <si>
    <t>IAM-068</t>
  </si>
  <si>
    <t>Build payment confirmation UI</t>
  </si>
  <si>
    <t>Transporter marks payment made and closes ticket.</t>
  </si>
  <si>
    <t>Payment status visible; close action allowed after paid</t>
  </si>
  <si>
    <t>IAM-067,IAM-035</t>
  </si>
  <si>
    <t>IAM-069</t>
  </si>
  <si>
    <t>Real-Time</t>
  </si>
  <si>
    <t>Add real-time task updates</t>
  </si>
  <si>
    <t>Low</t>
  </si>
  <si>
    <t>Use Supabase Realtime/WebSocket to refresh task timelines.</t>
  </si>
  <si>
    <t>Task update appears without manual refresh</t>
  </si>
  <si>
    <t>IAM-042,IAM-045</t>
  </si>
  <si>
    <t>IAM-070</t>
  </si>
  <si>
    <t>Add live notification updates</t>
  </si>
  <si>
    <t>Unread notifications update in real-time.</t>
  </si>
  <si>
    <t>Notification bell updates without refresh</t>
  </si>
  <si>
    <t>IAM-047,IAM-069</t>
  </si>
  <si>
    <t>Owner</t>
  </si>
  <si>
    <t>Start</t>
  </si>
  <si>
    <t>End</t>
  </si>
  <si>
    <t>Duration</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</si>
  <si>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</si>
  <si>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</si>
  <si>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</si>
  <si>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</si>
  <si>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</si>
  <si>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</si>
  <si>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</si>
  <si>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</si>
  <si>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</si>
  <si>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</si>
  <si>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</si>
  <si>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</si>
  <si>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</si>
  <si>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</si>
  <si>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</si>
  <si>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</si>
  <si>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</si>
  <si>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</si>
  <si>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</si>
  <si>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</si>
  <si>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</si>
  <si>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</si>
  <si>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</si>
  <si>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</si>
  <si>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</si>
  <si>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</si>
  <si>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</si>
  <si>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</si>
  <si>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</si>
  <si>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</si>
  <si>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</si>
  <si>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</si>
  <si>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</si>
  <si>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</si>
  <si>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</si>
  <si>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</si>
  <si>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</si>
  <si>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</si>
  <si>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</si>
  <si>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</si>
  <si>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</si>
  <si>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</si>
  <si>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t>
  </si>
  <si>
    <t>Task Title</t>
  </si>
  <si>
    <t>Depends On</t>
  </si>
  <si>
    <t>Dependency Meaning</t>
  </si>
  <si>
    <t>Blocking Risk</t>
  </si>
  <si>
    <t>Ready?</t>
  </si>
  <si>
    <t>No dependency</t>
  </si>
  <si>
    <t>Finish dependency before starting this task</t>
  </si>
  <si>
    <t>Code</t>
  </si>
  <si>
    <t>Layer</t>
  </si>
  <si>
    <t>Module</t>
  </si>
  <si>
    <t>File / Class</t>
  </si>
  <si>
    <t>Exact Coding Task</t>
  </si>
  <si>
    <t>Implementation Notes</t>
  </si>
  <si>
    <t>Related Jira Task</t>
  </si>
  <si>
    <t>CODE-001</t>
  </si>
  <si>
    <t>config</t>
  </si>
  <si>
    <t>CODE-002</t>
  </si>
  <si>
    <t>auth</t>
  </si>
  <si>
    <t>Create RegisterDto</t>
  </si>
  <si>
    <t>Fields: email,password,role,companyName,fullName,phone. Use class-validator.</t>
  </si>
  <si>
    <t>Invalid registration payload rejected</t>
  </si>
  <si>
    <t>CODE-003</t>
  </si>
  <si>
    <t>Create LoginDto</t>
  </si>
  <si>
    <t>Fields: email,password.</t>
  </si>
  <si>
    <t>Invalid login payload rejected</t>
  </si>
  <si>
    <t>CODE-004</t>
  </si>
  <si>
    <t>Implement register/login endpoints</t>
  </si>
  <si>
    <t>POST /auth/register and POST /auth/login.</t>
  </si>
  <si>
    <t>IAM-015,IAM-016</t>
  </si>
  <si>
    <t>Endpoints return expected DTO responses</t>
  </si>
  <si>
    <t>CODE-005</t>
  </si>
  <si>
    <t>Implement company registration service</t>
  </si>
  <si>
    <t>Create tenant, user profile, transporter profile in transaction.</t>
  </si>
  <si>
    <t>Tenant admin created atomically</t>
  </si>
  <si>
    <t>CODE-006</t>
  </si>
  <si>
    <t>Implement JWT strategy</t>
  </si>
  <si>
    <t>Validate token, attach user_id, tenant_id, role.</t>
  </si>
  <si>
    <t>Protected requests have user context</t>
  </si>
  <si>
    <t>CODE-007</t>
  </si>
  <si>
    <t>common</t>
  </si>
  <si>
    <t>Create auth guard</t>
  </si>
  <si>
    <t>Reject unauthenticated requests.</t>
  </si>
  <si>
    <t>401 returned without token</t>
  </si>
  <si>
    <t>CODE-008</t>
  </si>
  <si>
    <t>Create role guard</t>
  </si>
  <si>
    <t>Allow decorators like @Roles("admin").</t>
  </si>
  <si>
    <t>403 returned for wrong role</t>
  </si>
  <si>
    <t>CODE-009</t>
  </si>
  <si>
    <t>tenants</t>
  </si>
  <si>
    <t>Create tenant service</t>
  </si>
  <si>
    <t>Create/get current tenant and update company settings.</t>
  </si>
  <si>
    <t>Tenant data isolated</t>
  </si>
  <si>
    <t>CODE-010</t>
  </si>
  <si>
    <t>users</t>
  </si>
  <si>
    <t>Build users controller</t>
  </si>
  <si>
    <t>GET /users returns tenant users.</t>
  </si>
  <si>
    <t>No cross-tenant users returned</t>
  </si>
  <si>
    <t>CODE-011</t>
  </si>
  <si>
    <t>Build users service</t>
  </si>
  <si>
    <t>Find users by tenant and update roles.</t>
  </si>
  <si>
    <t>Role changes restricted to admin</t>
  </si>
  <si>
    <t>CODE-012</t>
  </si>
  <si>
    <t>invitations</t>
  </si>
  <si>
    <t>Build invitation endpoints</t>
  </si>
  <si>
    <t>POST /invitations and POST /invitations/accept.</t>
  </si>
  <si>
    <t>IAM-020,IAM-021</t>
  </si>
  <si>
    <t>Invitation flow works</t>
  </si>
  <si>
    <t>CODE-013</t>
  </si>
  <si>
    <t>Implement token creation/acceptance</t>
  </si>
  <si>
    <t>Generate secure token, handle expiry/accepted state.</t>
  </si>
  <si>
    <t>Expired tokens rejected</t>
  </si>
  <si>
    <t>CODE-014</t>
  </si>
  <si>
    <t>tasks</t>
  </si>
  <si>
    <t>Create CreateTaskDto</t>
  </si>
  <si>
    <t>Fields: assignedTo, notes, priority, workOrderFileId.</t>
  </si>
  <si>
    <t>Bad task payload rejected</t>
  </si>
  <si>
    <t>CODE-015</t>
  </si>
  <si>
    <t>Implement task CRUD endpoints</t>
  </si>
  <si>
    <t>GET /tasks, POST /tasks, GET /tasks/:id.</t>
  </si>
  <si>
    <t>IAM-029,IAM-030,IAM-031</t>
  </si>
  <si>
    <t>CRUD works with tenant isolation</t>
  </si>
  <si>
    <t>CODE-016</t>
  </si>
  <si>
    <t>Implement task business logic</t>
  </si>
  <si>
    <t>Create, list, get detail with role-based filtering.</t>
  </si>
  <si>
    <t>Car puller sees only assigned tasks</t>
  </si>
  <si>
    <t>CODE-017</t>
  </si>
  <si>
    <t>Implement status transitions</t>
  </si>
  <si>
    <t>Validate pending→accepted→in_progress→paused/completed→closed.</t>
  </si>
  <si>
    <t>Invalid transition rejected</t>
  </si>
  <si>
    <t>CODE-018</t>
  </si>
  <si>
    <t>uploads</t>
  </si>
  <si>
    <t>Build signed URL endpoint</t>
  </si>
  <si>
    <t>POST /uploads/signed-url.</t>
  </si>
  <si>
    <t>Returns signed upload URL</t>
  </si>
  <si>
    <t>CODE-019</t>
  </si>
  <si>
    <t>Generate tenant-scoped storage paths</t>
  </si>
  <si>
    <t>Path format: tenant/{tenant_id}/tasks/{task_id}/file.</t>
  </si>
  <si>
    <t>Storage path cannot escape tenant</t>
  </si>
  <si>
    <t>CODE-020</t>
  </si>
  <si>
    <t>task-updates</t>
  </si>
  <si>
    <t>Build task update endpoint</t>
  </si>
  <si>
    <t>POST /tasks/:id/updates.</t>
  </si>
  <si>
    <t>Can add note/media update</t>
  </si>
  <si>
    <t>CODE-021</t>
  </si>
  <si>
    <t>notifications</t>
  </si>
  <si>
    <t>Emit notification records</t>
  </si>
  <si>
    <t>Create notifications on assign/status/update.</t>
  </si>
  <si>
    <t>Notifications created reliably</t>
  </si>
  <si>
    <t>CODE-022</t>
  </si>
  <si>
    <t>Build login page</t>
  </si>
  <si>
    <t>IAM-009,IAM-017</t>
  </si>
  <si>
    <t>CODE-023</t>
  </si>
  <si>
    <t>Build registration page</t>
  </si>
  <si>
    <t>CODE-024</t>
  </si>
  <si>
    <t>lib</t>
  </si>
  <si>
    <t>Create API client</t>
  </si>
  <si>
    <t>Fetch wrapper with auth token and error handling.</t>
  </si>
  <si>
    <t>API errors handled consistently</t>
  </si>
  <si>
    <t>CODE-025</t>
  </si>
  <si>
    <t>Create auth helpers</t>
  </si>
  <si>
    <t>Login/logout/getSession/useCurrentUser.</t>
  </si>
  <si>
    <t>Session persists safely</t>
  </si>
  <si>
    <t>CODE-026</t>
  </si>
  <si>
    <t>layout</t>
  </si>
  <si>
    <t>Build sidebar navigation</t>
  </si>
  <si>
    <t>Role-based nav items.</t>
  </si>
  <si>
    <t>Car puller/admin see correct nav</t>
  </si>
  <si>
    <t>CODE-027</t>
  </si>
  <si>
    <t>Build topbar</t>
  </si>
  <si>
    <t>Tenant name, user menu, notification bell.</t>
  </si>
  <si>
    <t>IAM-024,IAM-047</t>
  </si>
  <si>
    <t>Topbar shows current context</t>
  </si>
  <si>
    <t>CODE-028</t>
  </si>
  <si>
    <t>Filters, search, cards/table.</t>
  </si>
  <si>
    <t>IAM-033,IAM-051</t>
  </si>
  <si>
    <t>Task list usable</t>
  </si>
  <si>
    <t>CODE-029</t>
  </si>
  <si>
    <t>Form with assigned car puller, notes, work order upload.</t>
  </si>
  <si>
    <t>Task can be created</t>
  </si>
  <si>
    <t>CODE-030</t>
  </si>
  <si>
    <t>Task status, notes, timeline, action buttons.</t>
  </si>
  <si>
    <t>Task details display</t>
  </si>
  <si>
    <t>CODE-031</t>
  </si>
  <si>
    <t>Build timeline component</t>
  </si>
  <si>
    <t>Show notes, photos, videos, status history.</t>
  </si>
  <si>
    <t>Timeline sorted correctly</t>
  </si>
  <si>
    <t>CODE-032</t>
  </si>
  <si>
    <t>Build file uploader</t>
  </si>
  <si>
    <t>Upload PDF/image/video using signed URL.</t>
  </si>
  <si>
    <t>Progress/errors shown</t>
  </si>
  <si>
    <t>CODE-033</t>
  </si>
  <si>
    <t>my-tasks</t>
  </si>
  <si>
    <t>Build mobile execution page</t>
  </si>
  <si>
    <t>Accept/start/pause/complete + proof upload.</t>
  </si>
  <si>
    <t>Usable on mobile</t>
  </si>
  <si>
    <t>CODE-034</t>
  </si>
  <si>
    <t>Build notification dropdown</t>
  </si>
  <si>
    <t>Unread badge, list, mark read.</t>
  </si>
  <si>
    <t>Unread count updates</t>
  </si>
  <si>
    <t>CODE-035</t>
  </si>
  <si>
    <t>migrations</t>
  </si>
  <si>
    <t>Create tenants migration</t>
  </si>
  <si>
    <t>CODE-036</t>
  </si>
  <si>
    <t>Create tasks migration</t>
  </si>
  <si>
    <t>tasks table indexes tenant_id,status,assigned_to.</t>
  </si>
  <si>
    <t>Task queries performant</t>
  </si>
  <si>
    <t>CODE-037</t>
  </si>
  <si>
    <t>Create core RLS policies</t>
  </si>
  <si>
    <t>Policies for tenants/users/profiles.</t>
  </si>
  <si>
    <t>Cross-tenant read blocked</t>
  </si>
  <si>
    <t>CODE-038</t>
  </si>
  <si>
    <t>supabase/migrations/036_storage.sql</t>
  </si>
  <si>
    <t>Create storage policies</t>
  </si>
  <si>
    <t>Tenant-scoped buckets and paths.</t>
  </si>
  <si>
    <t>Files isolated by tenant</t>
  </si>
  <si>
    <t>CODE-039</t>
  </si>
  <si>
    <t>tests</t>
  </si>
  <si>
    <t>Write task service tests</t>
  </si>
  <si>
    <t>Create/list/status transition tests.</t>
  </si>
  <si>
    <t>Tests pass</t>
  </si>
  <si>
    <t>CODE-040</t>
  </si>
  <si>
    <t>e2e</t>
  </si>
  <si>
    <t>Write E2E MVP test</t>
  </si>
  <si>
    <t>Register, create task, accept, upload proof, complete.</t>
  </si>
  <si>
    <t>E2E flow passes</t>
  </si>
  <si>
    <t>Area</t>
  </si>
  <si>
    <t>Path</t>
  </si>
  <si>
    <t>Purpose</t>
  </si>
  <si>
    <t>Primary Related Tasks</t>
  </si>
  <si>
    <t>Build Order</t>
  </si>
  <si>
    <t>Method</t>
  </si>
  <si>
    <t>Endpoint</t>
  </si>
  <si>
    <t>Role Access</t>
  </si>
  <si>
    <t>Request Body / Params</t>
  </si>
  <si>
    <t>Response</t>
  </si>
  <si>
    <t>Related Tasks</t>
  </si>
  <si>
    <t>POST</t>
  </si>
  <si>
    <t>/auth/register</t>
  </si>
  <si>
    <t>Register new company admin or invited user</t>
  </si>
  <si>
    <t>Public</t>
  </si>
  <si>
    <t>email,password,role,company/profile fields</t>
  </si>
  <si>
    <t>session + user context</t>
  </si>
  <si>
    <t>IAM-015,IAM-017</t>
  </si>
  <si>
    <t>/auth/login</t>
  </si>
  <si>
    <t>Authenticate user</t>
  </si>
  <si>
    <t>email,password</t>
  </si>
  <si>
    <t>IAM-016,IAM-017</t>
  </si>
  <si>
    <t>GET</t>
  </si>
  <si>
    <t>/users</t>
  </si>
  <si>
    <t>List tenant users</t>
  </si>
  <si>
    <t>Admin</t>
  </si>
  <si>
    <t>query: page,search</t>
  </si>
  <si>
    <t>users[]</t>
  </si>
  <si>
    <t>IAM-022,IAM-023</t>
  </si>
  <si>
    <t>/invitations</t>
  </si>
  <si>
    <t>Invite user to tenant</t>
  </si>
  <si>
    <t>email,role</t>
  </si>
  <si>
    <t>invitation</t>
  </si>
  <si>
    <t>/invitations/accept</t>
  </si>
  <si>
    <t>Accept invite</t>
  </si>
  <si>
    <t>Public/Auth</t>
  </si>
  <si>
    <t>token,password/profile fields</t>
  </si>
  <si>
    <t>user joined tenant</t>
  </si>
  <si>
    <t>/tasks</t>
  </si>
  <si>
    <t>List tasks by tenant/role</t>
  </si>
  <si>
    <t>Admin,Dispatcher,Car Puller</t>
  </si>
  <si>
    <t>status,search,page,date range</t>
  </si>
  <si>
    <t>tasks[]</t>
  </si>
  <si>
    <t>IAM-030,IAM-033,IAM-050</t>
  </si>
  <si>
    <t>Create task</t>
  </si>
  <si>
    <t>Admin,Dispatcher</t>
  </si>
  <si>
    <t>assignedTo,notes,priority,workOrderFileId</t>
  </si>
  <si>
    <t>task</t>
  </si>
  <si>
    <t>IAM-029,IAM-034</t>
  </si>
  <si>
    <t>/tasks/:id</t>
  </si>
  <si>
    <t>Get task detail</t>
  </si>
  <si>
    <t>Tenant user with access</t>
  </si>
  <si>
    <t>task id</t>
  </si>
  <si>
    <t>task + updates + history</t>
  </si>
  <si>
    <t>IAM-031,IAM-035</t>
  </si>
  <si>
    <t>PATCH</t>
  </si>
  <si>
    <t>/tasks/:id/status</t>
  </si>
  <si>
    <t>Update task status</t>
  </si>
  <si>
    <t>Assigned role/user</t>
  </si>
  <si>
    <t>status,note</t>
  </si>
  <si>
    <t>updated task</t>
  </si>
  <si>
    <t>IAM-032,IAM-043</t>
  </si>
  <si>
    <t>/uploads/signed-url</t>
  </si>
  <si>
    <t>Get signed upload URL</t>
  </si>
  <si>
    <t>Authenticated</t>
  </si>
  <si>
    <t>fileName,mimeType,size,taskId</t>
  </si>
  <si>
    <t>signedUrl,filePath</t>
  </si>
  <si>
    <t>IAM-037,IAM-039</t>
  </si>
  <si>
    <t>/tasks/:id/updates</t>
  </si>
  <si>
    <t>Create note/media update</t>
  </si>
  <si>
    <t>type,note,fileIds</t>
  </si>
  <si>
    <t>task update</t>
  </si>
  <si>
    <t>IAM-041,IAM-042</t>
  </si>
  <si>
    <t>/notifications</t>
  </si>
  <si>
    <t>List notifications</t>
  </si>
  <si>
    <t>page,unreadOnly</t>
  </si>
  <si>
    <t>notifications[]</t>
  </si>
  <si>
    <t>IAM-046,IAM-047</t>
  </si>
  <si>
    <t>/notifications/:id/read</t>
  </si>
  <si>
    <t>Mark read</t>
  </si>
  <si>
    <t>id</t>
  </si>
  <si>
    <t>notification</t>
  </si>
  <si>
    <t>Table</t>
  </si>
  <si>
    <t>Key Columns</t>
  </si>
  <si>
    <t>Tenant/RLS Rule</t>
  </si>
  <si>
    <t>Audit Fields</t>
  </si>
  <si>
    <t>Company/tenant container</t>
  </si>
  <si>
    <t>id,name,status</t>
  </si>
  <si>
    <t>Admin can access own tenant</t>
  </si>
  <si>
    <t>created_at,updated_at,created_by,updated_by</t>
  </si>
  <si>
    <t>IAM-010,IAM-014</t>
  </si>
  <si>
    <t>app_users</t>
  </si>
  <si>
    <t>User profile linked to auth.users</t>
  </si>
  <si>
    <t>id,tenant_id,role,full_name,phone</t>
  </si>
  <si>
    <t>Users can see tenant users by policy/admin rules</t>
  </si>
  <si>
    <t>IAM-011,IAM-014</t>
  </si>
  <si>
    <t>transporter_profiles</t>
  </si>
  <si>
    <t>Transporter company/dispatch/broker info</t>
  </si>
  <si>
    <t>tenant_id,company_name,dispatch_name,broker_name</t>
  </si>
  <si>
    <t>tenant_id = current user tenant</t>
  </si>
  <si>
    <t>IAM-012,IAM-025</t>
  </si>
  <si>
    <t>car_puller_profiles</t>
  </si>
  <si>
    <t>Car puller profile and photo/logo</t>
  </si>
  <si>
    <t>user_id,tenant_id,photo_url,logo_url</t>
  </si>
  <si>
    <t>Tenant user invitation tokens</t>
  </si>
  <si>
    <t>tenant_id,email,role,token,expires_at,accepted</t>
  </si>
  <si>
    <t>Admin only create/list; token accept flow</t>
  </si>
  <si>
    <t>IAM-019-IAM-021</t>
  </si>
  <si>
    <t>Work orders/tasks</t>
  </si>
  <si>
    <t>tenant_id,created_by,assigned_to,status,notes,priority</t>
  </si>
  <si>
    <t>Tenant users; car puller assigned only</t>
  </si>
  <si>
    <t>IAM-026-IAM-032</t>
  </si>
  <si>
    <t>task_status_history</t>
  </si>
  <si>
    <t>Audit trail of task status changes</t>
  </si>
  <si>
    <t>task_id,from_status,to_status,changed_by</t>
  </si>
  <si>
    <t>Via parent task tenant</t>
  </si>
  <si>
    <t>created_at,created_by</t>
  </si>
  <si>
    <t>IAM-027,IAM-032</t>
  </si>
  <si>
    <t>files</t>
  </si>
  <si>
    <t>Uploaded file metadata</t>
  </si>
  <si>
    <t>tenant_id,task_id,path,mime_type,size_bytes</t>
  </si>
  <si>
    <t>tenant-scoped storage path and policy</t>
  </si>
  <si>
    <t>task_updates</t>
  </si>
  <si>
    <t>Timeline notes/images/videos</t>
  </si>
  <si>
    <t>tenant_id,task_id,type,note,file_id</t>
  </si>
  <si>
    <t>Via task tenant and user access</t>
  </si>
  <si>
    <t>IAM-040,IAM-041</t>
  </si>
  <si>
    <t>User notifications</t>
  </si>
  <si>
    <t>tenant_id,user_id,type,read_at,payload</t>
  </si>
  <si>
    <t>user_id = auth.uid() and tenant_id matched</t>
  </si>
  <si>
    <t>created_at,updated_at</t>
  </si>
  <si>
    <t>IAM-044-IAM-047</t>
  </si>
  <si>
    <t>audit_logs</t>
  </si>
  <si>
    <t>Sensitive business events</t>
  </si>
  <si>
    <t>tenant_id,actor_id,entity_type,entity_id,action</t>
  </si>
  <si>
    <t>Admin/security only by tenant</t>
  </si>
  <si>
    <t>Screen Code</t>
  </si>
  <si>
    <t>Screen</t>
  </si>
  <si>
    <t>Route</t>
  </si>
  <si>
    <t>Role</t>
  </si>
  <si>
    <t>Components</t>
  </si>
  <si>
    <t>UI-001</t>
  </si>
  <si>
    <t>Login</t>
  </si>
  <si>
    <t>/login</t>
  </si>
  <si>
    <t>All</t>
  </si>
  <si>
    <t>Authenticate existing users</t>
  </si>
  <si>
    <t>LoginForm</t>
  </si>
  <si>
    <t>UI-002</t>
  </si>
  <si>
    <t>Register</t>
  </si>
  <si>
    <t>/register</t>
  </si>
  <si>
    <t>Register new tenant/admin or car puller</t>
  </si>
  <si>
    <t>RegisterForm,RoleSelector</t>
  </si>
  <si>
    <t>UI-003</t>
  </si>
  <si>
    <t>/dashboard</t>
  </si>
  <si>
    <t>Admin/Dispatcher</t>
  </si>
  <si>
    <t>Show KPIs and recent activity</t>
  </si>
  <si>
    <t>KpiCard,RecentTasks</t>
  </si>
  <si>
    <t>UI-004</t>
  </si>
  <si>
    <t>My Tasks</t>
  </si>
  <si>
    <t>/my-tasks</t>
  </si>
  <si>
    <t>Car Puller</t>
  </si>
  <si>
    <t>Show assigned tasks</t>
  </si>
  <si>
    <t>TaskCard,TaskFilters</t>
  </si>
  <si>
    <t>UI-005</t>
  </si>
  <si>
    <t>Task List</t>
  </si>
  <si>
    <t>Manage/search all tenant tasks</t>
  </si>
  <si>
    <t>TaskTable,TaskFilters</t>
  </si>
  <si>
    <t>UI-006</t>
  </si>
  <si>
    <t>Create Task</t>
  </si>
  <si>
    <t>/tasks/new</t>
  </si>
  <si>
    <t>Create work order and assign car puller</t>
  </si>
  <si>
    <t>CreateTaskForm,FileUploader</t>
  </si>
  <si>
    <t>IAM-034,IAM-039</t>
  </si>
  <si>
    <t>UI-007</t>
  </si>
  <si>
    <t>Task Detail</t>
  </si>
  <si>
    <t>/tasks/[id]</t>
  </si>
  <si>
    <t>All with access</t>
  </si>
  <si>
    <t>View/update task and timeline</t>
  </si>
  <si>
    <t>TaskDetail,TaskTimeline,StatusActions</t>
  </si>
  <si>
    <t>IAM-035,IAM-042</t>
  </si>
  <si>
    <t>UI-008</t>
  </si>
  <si>
    <t>Execution Screen</t>
  </si>
  <si>
    <t>/my-tasks/[id]</t>
  </si>
  <si>
    <t>Mobile-first execution controls</t>
  </si>
  <si>
    <t>TaskUpdateComposer,StatusActions</t>
  </si>
  <si>
    <t>UI-009</t>
  </si>
  <si>
    <t>Users</t>
  </si>
  <si>
    <t>Invite/manage tenant users</t>
  </si>
  <si>
    <t>UserTable,InviteUserModal</t>
  </si>
  <si>
    <t>UI-010</t>
  </si>
  <si>
    <t>Company Settings</t>
  </si>
  <si>
    <t>/settings/company</t>
  </si>
  <si>
    <t>Update transporter profile</t>
  </si>
  <si>
    <t>CompanySettingsForm</t>
  </si>
  <si>
    <t>UI-011</t>
  </si>
  <si>
    <t>Notification Bell</t>
  </si>
  <si>
    <t>Global Topbar</t>
  </si>
  <si>
    <t>Show alerts and read status</t>
  </si>
  <si>
    <t>NotificationBell</t>
  </si>
  <si>
    <t>ID</t>
  </si>
  <si>
    <t>Type</t>
  </si>
  <si>
    <t>Risk / Decision</t>
  </si>
  <si>
    <t>Impact</t>
  </si>
  <si>
    <t>Mitigation / Decision</t>
  </si>
  <si>
    <t>R-001</t>
  </si>
  <si>
    <t>Risk</t>
  </si>
  <si>
    <t>Cross-tenant data leak</t>
  </si>
  <si>
    <t>Use RLS, backend tenant middleware, automated tests</t>
  </si>
  <si>
    <t>Open</t>
  </si>
  <si>
    <t>R-002</t>
  </si>
  <si>
    <t>Large video uploads fail or cost too much</t>
  </si>
  <si>
    <t>Use signed URLs, file limits, compression guidance, storage lifecycle rules</t>
  </si>
  <si>
    <t>R-003</t>
  </si>
  <si>
    <t>Unclear payment ownership between transporter and car puller</t>
  </si>
  <si>
    <t>Start with manual paid status; design Stripe later</t>
  </si>
  <si>
    <t>R-004</t>
  </si>
  <si>
    <t>Scope creep before MVP</t>
  </si>
  <si>
    <t>Freeze Sprint 1-8 as MVP; push GPS/payments/realtime to future</t>
  </si>
  <si>
    <t>D-001</t>
  </si>
  <si>
    <t>Decision</t>
  </si>
  <si>
    <t>Use single database with tenant_id</t>
  </si>
  <si>
    <t>Best MVP balance; use RLS for isolation</t>
  </si>
  <si>
    <t>Architecture</t>
  </si>
  <si>
    <t>Accepted</t>
  </si>
  <si>
    <t>D-002</t>
  </si>
  <si>
    <t>Use timestamptz for all dates</t>
  </si>
  <si>
    <t>Avoid timezone bugs; store UTC, display local</t>
  </si>
  <si>
    <t>Checklist Item</t>
  </si>
  <si>
    <t>Required for MVP?</t>
  </si>
  <si>
    <t>Evidence / Link</t>
  </si>
  <si>
    <t>RLS tested for tenant isolation</t>
  </si>
  <si>
    <t>Yes</t>
  </si>
  <si>
    <t>Register/login/logout working in production</t>
  </si>
  <si>
    <t>Transporter can create and assign a task</t>
  </si>
  <si>
    <t>Execution</t>
  </si>
  <si>
    <t>Car puller can accept/start/upload/complete</t>
  </si>
  <si>
    <t>Uploads</t>
  </si>
  <si>
    <t>PDF/image/video uploads work</t>
  </si>
  <si>
    <t>Task assignment notification works</t>
  </si>
  <si>
    <t>No</t>
  </si>
  <si>
    <t>E2E MVP flow passes</t>
  </si>
  <si>
    <t>Frontend deployed with prod env vars</t>
  </si>
  <si>
    <t>Backend deployed with SSL and CORS</t>
  </si>
  <si>
    <t>Docs</t>
  </si>
  <si>
    <t>User guide created</t>
  </si>
  <si>
    <t>IAM-071</t>
  </si>
  <si>
    <t>Developer Automation</t>
  </si>
  <si>
    <t>Establish Excel-driven Codex agent foundation</t>
  </si>
  <si>
    <t>Establish repository instructions, tracker rules, and the package location for an Excel-driven Codex task agent.</t>
  </si>
  <si>
    <t>AGENTS.md contains the agent rules; Excel temporary files are ignored; the workbook contains IAM-071 and CODE-041; completed tasks are not selected again; no commits occur without a task ID.</t>
  </si>
  <si>
    <t>Sprint 10</t>
  </si>
  <si>
    <t>IAM-001,IAM-003</t>
  </si>
  <si>
    <t>AGENTS.md; .gitignore; planning/IAMONIT_Full_Project_Control_Workbook.xlsx</t>
  </si>
  <si>
    <t>Every Git commit must begin with the exact related task ID.</t>
  </si>
  <si>
    <t>Repository and workbook rules for the Excel-driven Codex agent are established.</t>
  </si>
  <si>
    <t>CODE-041</t>
  </si>
  <si>
    <t>Tooling</t>
  </si>
  <si>
    <t>task-agent</t>
  </si>
  <si>
    <t>packages/task-agent/src/cli.ts</t>
  </si>
  <si>
    <t>Create read-only workbook reader and eligible-task selector</t>
  </si>
  <si>
    <t>Use ExcelJS to read the Backlog and IntelliJ Coding Tasks sheets. Skip Done, In Progress, Blocked, and Review tasks. Select a Todo task only when all dependencies are Done. Print one selected task and stop without changing the workbook or application code.</t>
  </si>
  <si>
    <t>The CLI identifies exactly one eligible task, respects dependencies, skips completed work, and makes no workbook changes.</t>
  </si>
  <si>
    <t>apps/web/package.json; apps/web/app/layout.tsx; apps/web/tailwind.config.ts</t>
  </si>
  <si>
    <t>apps/api/src/main.ts; apps/api/src/app.module.ts</t>
  </si>
  <si>
    <t>apps/api/src/config/env.ts; apps/web/.env.example</t>
  </si>
  <si>
    <t>apps/web/.eslintrc; apps/api/.eslintrc</t>
  </si>
  <si>
    <t>apps/api/src/modules/auth/dto/register.dto.ts; login.dto.ts</t>
  </si>
  <si>
    <t>apps/web/app/(auth)/login/page.tsx; apps/web/app/(auth)/register/page.tsx</t>
  </si>
  <si>
    <t>apps/api/src/modules/auth/auth.service.ts; tenants.service.ts</t>
  </si>
  <si>
    <t>apps/api/src/modules/auth/auth.controller.ts; jwt.strategy.ts</t>
  </si>
  <si>
    <t>apps/web/lib/auth.ts; apps/web/app/(auth)/*</t>
  </si>
  <si>
    <t>apps/api/src/common/guards/auth.guard.ts; roles.guard.ts</t>
  </si>
  <si>
    <t>apps/api/src/modules/invitations/invitations.controller.ts; invitations.service.ts</t>
  </si>
  <si>
    <t>apps/api/src/modules/invitations/invitations.service.ts</t>
  </si>
  <si>
    <t>apps/api/src/modules/users/users.controller.ts; users.service.ts</t>
  </si>
  <si>
    <t>apps/web/app/(dashboard)/users/page.tsx; components/users/InviteUserModal.tsx</t>
  </si>
  <si>
    <t>apps/web/app/(dashboard)/layout.tsx; components/layout/Sidebar.tsx; Topbar.tsx</t>
  </si>
  <si>
    <t>apps/api/src/modules/tenants/*; apps/web/app/(dashboard)/settings/company/page.tsx</t>
  </si>
  <si>
    <t>apps/api/src/modules/tasks/dto/create-task.dto.ts; update-task-status.dto.ts</t>
  </si>
  <si>
    <t>apps/api/src/modules/tasks/tasks.controller.ts; tasks.service.ts</t>
  </si>
  <si>
    <t>apps/api/src/modules/tasks/tasks.repository.ts</t>
  </si>
  <si>
    <t>apps/api/src/modules/tasks/tasks.service.ts</t>
  </si>
  <si>
    <t>apps/api/src/modules/tasks/task-status.service.ts</t>
  </si>
  <si>
    <t>apps/web/app/(dashboard)/tasks/page.tsx; components/tasks/TaskCard.tsx</t>
  </si>
  <si>
    <t>apps/web/app/(dashboard)/tasks/new/page.tsx; components/tasks/CreateTaskForm.tsx</t>
  </si>
  <si>
    <t>apps/web/app/(dashboard)/tasks/[id]/page.tsx; components/tasks/TaskDetail.tsx</t>
  </si>
  <si>
    <t>apps/api/src/modules/uploads/uploads.controller.ts; uploads.service.ts</t>
  </si>
  <si>
    <t>supabase/migrations/038_files.sql; apps/api/src/modules/uploads/file-metadata.service.ts</t>
  </si>
  <si>
    <t>apps/web/components/uploads/FileUploader.tsx</t>
  </si>
  <si>
    <t>apps/api/src/modules/task-updates/task-updates.controller.ts; service.ts</t>
  </si>
  <si>
    <t>apps/web/components/tasks/TaskTimeline.tsx; TaskUpdateComposer.tsx</t>
  </si>
  <si>
    <t>apps/web/app/(dashboard)/my-tasks/[id]/page.tsx</t>
  </si>
  <si>
    <t>apps/api/src/modules/notifications/notifications.service.ts</t>
  </si>
  <si>
    <t>apps/api/src/modules/notifications/notifications.controller.ts</t>
  </si>
  <si>
    <t>apps/web/components/notifications/NotificationBell.tsx</t>
  </si>
  <si>
    <t>apps/web/app/(dashboard)/page.tsx; components/dashboard/KpiCard.tsx</t>
  </si>
  <si>
    <t>apps/web/app/(dashboard)/my-tasks/page.tsx</t>
  </si>
  <si>
    <t>apps/api/src/modules/tasks/task-query.dto.ts</t>
  </si>
  <si>
    <t>apps/web/components/tasks/TaskFilters.tsx</t>
  </si>
  <si>
    <t>apps/api/test/auth.spec.ts; tenants.spec.ts</t>
  </si>
  <si>
    <t>apps/api/test/tasks.spec.ts; uploads.spec.ts</t>
  </si>
  <si>
    <t>apps/web/__tests__/*</t>
  </si>
  <si>
    <t>apps/api/Dockerfile; railway.json/render.yaml</t>
  </si>
  <si>
    <t>apps/web/components/payments/PaymentPanel.tsx</t>
  </si>
  <si>
    <t>apps/web/lib/realtime.ts; backend events</t>
  </si>
  <si>
    <t>IAM-072</t>
  </si>
  <si>
    <t>Align tracker paths with workspace structure</t>
  </si>
  <si>
    <t>Align legacy backend and frontend file paths in the IAMONIT project tracker with the repository’s pnpm workspace structure.</t>
  </si>
  <si>
    <t>Legacy backend paths use apps/api; legacy frontend paths use apps/web; canonical paths remain unchanged; no formulas, dropdowns, styles, or unrelated tracker content are damaged; remaining invalid path prefixes are reported.</t>
  </si>
  <si>
    <t>planning/IAMONIT_Full_Project_Control_Workbook.xlsx</t>
  </si>
  <si>
    <t>Normalize path-bearing tracker cells only. Do not change descriptive prose, URLs, package names, commands, class names, or task IDs.</t>
  </si>
  <si>
    <t>Tracker file paths match the actual apps/api and apps/web workspace structure.</t>
  </si>
  <si>
    <t>apps/api/src/modules/auth/dto/register.dto.ts</t>
  </si>
  <si>
    <t>apps/api/src/modules/auth/dto/login.dto.ts</t>
  </si>
  <si>
    <t>apps/api/src/modules/auth/auth.controller.ts</t>
  </si>
  <si>
    <t>apps/api/src/modules/auth/auth.service.ts</t>
  </si>
  <si>
    <t>apps/api/src/modules/auth/jwt.strategy.ts</t>
  </si>
  <si>
    <t>apps/api/src/common/guards/auth.guard.ts</t>
  </si>
  <si>
    <t>apps/api/src/common/guards/roles.guard.ts</t>
  </si>
  <si>
    <t>apps/api/src/modules/tenants/tenants.service.ts</t>
  </si>
  <si>
    <t>apps/api/src/modules/users/users.controller.ts</t>
  </si>
  <si>
    <t>apps/api/src/modules/users/users.service.ts</t>
  </si>
  <si>
    <t>apps/api/src/modules/invitations/invitations.controller.ts</t>
  </si>
  <si>
    <t>apps/api/src/modules/tasks/dto/create-task.dto.ts</t>
  </si>
  <si>
    <t>apps/api/src/modules/tasks/tasks.controller.ts</t>
  </si>
  <si>
    <t>apps/api/src/modules/uploads/uploads.controller.ts</t>
  </si>
  <si>
    <t>apps/api/src/modules/uploads/uploads.service.ts</t>
  </si>
  <si>
    <t>apps/api/src/modules/task-updates/task-updates.controller.ts</t>
  </si>
  <si>
    <t>apps/web/app/(auth)/login/page.tsx</t>
  </si>
  <si>
    <t>apps/web/app/(auth)/register/page.tsx</t>
  </si>
  <si>
    <t>apps/web/lib/api.ts</t>
  </si>
  <si>
    <t>apps/web/lib/auth.ts</t>
  </si>
  <si>
    <t>apps/web/components/layout/Sidebar.tsx</t>
  </si>
  <si>
    <t>apps/web/components/layout/Topbar.tsx</t>
  </si>
  <si>
    <t>apps/web/app/(dashboard)/tasks/page.tsx</t>
  </si>
  <si>
    <t>apps/web/app/(dashboard)/tasks/new/page.tsx</t>
  </si>
  <si>
    <t>apps/web/app/(dashboard)/tasks/[id]/page.tsx</t>
  </si>
  <si>
    <t>apps/web/components/tasks/TaskTimeline.tsx</t>
  </si>
  <si>
    <t>apps/api/test/tasks.spec.ts</t>
  </si>
  <si>
    <t>CODE-042</t>
  </si>
  <si>
    <t>packages/task-agent/src/path-normalizer.ts</t>
  </si>
  <si>
    <t>Validate and normalize coding-task file paths</t>
  </si>
  <si>
    <t>Add runtime path normalization and validation to the read-only task agent. Convert known legacy prefixes to canonical workspace paths, reject unsafe paths, preserve already canonical paths, and print both original and normalized task paths.</t>
  </si>
  <si>
    <t>backend paths normalize to apps/api; frontend paths normalize to apps/web; canonical paths remain unchanged; absolute paths and directory traversal are rejected; future files are allowed to be absent; tests cover valid, legacy, unsafe, and multiple-path inputs.</t>
  </si>
  <si>
    <t>IAM-073</t>
  </si>
  <si>
    <t>Add controlled Codex execution pipeline</t>
  </si>
  <si>
    <t>Extend the IAMONIT task-agent so it can generate a task-specific Codex prompt and invoke Codex non-interactively under explicit safety controls.</t>
  </si>
  <si>
    <t>The agent supports a non-mutating plan mode; execution requires an explicit flag; execution is blocked on a dirty working tree or protected branch; Codex runs only inside the repository workspace; results and exit status are captured; the workbook is never modified; no commit or push occurs automatically.</t>
  </si>
  <si>
    <t>IAM-071,IAM-072</t>
  </si>
  <si>
    <t>packages/task-agent/src/prompt-builder.ts; packages/task-agent/src/codex-executor.ts; packages/task-agent/src/git-preflight.ts; packages/task-agent/src/cli.ts</t>
  </si>
  <si>
    <t>Plan mode is the default. Real execution requires explicit user action and must stop at human review.</t>
  </si>
  <si>
    <t>The task-agent can safely prepare and explicitly launch one Codex coding task without committing, pushing, or updating the workbook.</t>
  </si>
  <si>
    <t>CODE-043</t>
  </si>
  <si>
    <t>Build task prompt generation and controlled Codex execution</t>
  </si>
  <si>
    <t>Generate a detailed prompt from the single selected workbook task. Keep plan mode as the default. Add an explicit execution mode that invokes codex exec using Node child_process.spawn without a shell. Pass the prompt through stdin. Use workspace-write sandboxing, disable network access, capture JSONL events and the final assistant message, verify a clean Git working tree, reject protected branches, preserve the workbook checksum, and never commit or push.</t>
  </si>
  <si>
    <t>Plan mode prints the exact generated prompt without invoking Codex; execution requires an explicit flag; dirty repositories and main/master branches are rejected; unsafe or unresolved task paths remain rejected; Codex output and exit code are captured; workbook checksum remains unchanged; no automatic commit, push, or tracker update occurs; unit tests cover prompt creation, argument construction, Git preflight, execution failure, and dry-run behavior.</t>
  </si>
  <si>
    <t>Initialize the Next.js frontend under apps/web using TypeScript, App Router, Tailwind CSS, and ESLint as part of the existing pnpm workspace.</t>
  </si>
  <si>
    <t>apps/web/package.json exists; TypeScript is configured; App Router is configured; Tailwind CSS is configured; ESLint is configured; apps/web/app/layout.tsx exists; apps/web/app/page.tsx exists; the package participates in the existing pnpm workspace; the existing root dev:web command works with the web package; pnpm --filter &lt;web-package&gt; build passes</t>
  </si>
  <si>
    <t>CODE-044</t>
  </si>
  <si>
    <t>web</t>
  </si>
  <si>
    <t>apps/web/package.json; apps/web/app/layout.tsx; apps/web/app/page.tsx</t>
  </si>
  <si>
    <t>Initialize Next.js frontend application</t>
  </si>
  <si>
    <t>Initialize apps/web as a pnpm-managed Next.js application using TypeScript, App Router, Tailwind CSS, and ESLint. Keep the app directory at apps/web/app rather than apps/web/src/app so existing tracker paths remain valid. Inspect the root workspace scripts and choose a package name compatible with dev:web. Preserve the existing monorepo structure.</t>
  </si>
  <si>
    <t>Next.js application exists under apps/web; package participates in the pnpm workspace; layout and home page render; Tailwind and ESLint are configured; root dev:web resolves the package; web build passes.</t>
  </si>
  <si>
    <t>Create the client-side login page UI shell with email and password fields, client-side validation, accessible labels, validation and error messages, loading/disabled-state presentation, and navigation to the registration page. Do not call the backend, store authentication state, create sessions, or redirect to the dashboard. Those behaviors belong to later integration tasks.</t>
  </si>
  <si>
    <t>Login page renders email and password fields; invalid input displays clear validation messages; loading and error presentation states are supported; the submit button has appropriate disabled behavior; and a registration navigation link is available. No backend request, authentication persistence, or dashboard redirect is implemented.</t>
  </si>
  <si>
    <t>Create the client-side registration page UI shell with full name, company name, email, phone, password, required confirm-password, and role-selection fields. Require a minimum of 8 password characters and require password and confirm password to match. Include client-side validation, accessible labels and field-level errors, loading and disabled states, and navigation to /login. Do not call the backend, create an account, store authentication state, create a session or token, persist data, or redirect after submission. Those behaviors belong to later integration tasks.</t>
  </si>
  <si>
    <t>Registration page renders all required fields and role selection; password requires at least 8 characters; confirm password is required and must match password; invalid input displays accessible field-level validation errors; loading and error presentation states are supported; the submit button has appropriate disabled behavior; and navigation to /login is available. No backend call, account creation, session, token, authentication persistence, other persistence, or post-registration redirect is implemented.</t>
  </si>
  <si>
    <t>apps/api/src/config/env.config.ts; apps/api/src/app.module.ts; apps/api/.env.example; apps/web/.env.example</t>
  </si>
  <si>
    <t>Complete environment configuration and validation</t>
  </si>
  <si>
    <t>Validate required API environment variables and fail clearly during startup when required values are missing or invalid. Keep configuration typed and centralized. Add repository-safe .env.example documentation for required API variables and add frontend public-environment examples or conventions where needed, using the appropriate NEXT_PUBLIC_ prefix for browser-exposed values. Do not add real credentials, tokens, passwords, URLs containing secrets, or production values. Do not provision Supabase or perform database migrations in this task.</t>
  </si>
  <si>
    <t>Required API environment values are validated; invalid or missing required values produce a clear startup failure; API and frontend example-environment files document required variables; no secrets are committed; existing development configuration continues to work; TypeScript, lint, and relevant tests pass.</t>
  </si>
  <si>
    <t>CODE-045</t>
  </si>
  <si>
    <t>supabase</t>
  </si>
  <si>
    <t>Initialize local Supabase configuration</t>
  </si>
  <si>
    <t>Initialize repository-local Supabase configuration without secrets. Create supabase/config.toml using safe local-development settings and the standard migration directory expected by the project. Do not provision a hosted Supabase project, access credentials, configure production values, or create database migrations. Hosted-project creation, connection-string configuration, database reachability, and external connection verification remain manual IAM-006 completion requirements.</t>
  </si>
  <si>
    <t>supabase/config.toml exists; it contains no credentials, tokens, passwords, or production secrets; local Supabase project and migration discovery settings are configured; the repository structure supports the documented local migration workflow; configuration syntax is valid; and no hosted Supabase project or database migration is created.</t>
  </si>
  <si>
    <t>CODE-046</t>
  </si>
  <si>
    <t>Create reusable audit trigger migration</t>
  </si>
  <si>
    <t>Create an ordered PostgreSQL migration that defines reusable audit timestamp behavior for IAMONIT tables. Define a reusable trigger function that sets updated_at to the current timestamp whenever a row is updated. Use timestamptz for created_at and updated_at conventions. Keep the migration compatible with Supabase PostgreSQL and safe to apply through the existing local migration workflow. Do not create tenants, app_users, authentication endpoints, or unrelated tables in this task. Do not apply the migration to the hosted Supabase project automatically.</t>
  </si>
  <si>
    <t>supabase/migrations/20260804164436_audit_trigger.sql exists; it defines a reusable PostgreSQL updated_at trigger function; audit timestamp conventions use timestamptz; the SQL is valid and safely ordered; the migration applies successfully to the local Supabase database; local verification confirms that a table using the trigger receives a changed updated_at value after an update; no unrelated tables are created; and no hosted-project migration is applied.</t>
  </si>
  <si>
    <t>supabase/migrations/20260804164436_audit_trigger.sql</t>
  </si>
  <si>
    <t>supabase/migrations/20260804165923_create_tenants.sql</t>
  </si>
  <si>
    <t>Create one ordered Supabase PostgreSQL migration for public.tenants. Define id
as uuid primary key with default gen_random_uuid(); define name as text, required,
and unique; define status as text, required, with default 'active'; and define
created_by and updated_by as nullable uuid columns without foreign keys at this
stage.
Follow the IAM-007 audit convention by defining created_at and updated_at as
timestamptz NOT NULL DEFAULT now() and attach a BEFORE UPDATE trigger that
executes public.set_updated_at().
Enable row-level security on public.tenants, but do not create tenant-access
policies because policy implementation belongs to IAM-014. Do not create or
depend on app_users, memberships, profiles, authentication endpoints, API code,
or other application files.
Apply and verify the migration only against the local Supabase database. Do not
apply it to the hosted Supabase project.</t>
  </si>
  <si>
    <t>The timestamped migration
supabase/migrations/20260804165923_create_tenants.sql creates public.tenants
with id, name, status, created_at, updated_at, created_by, and updated_by.
id is a uuid primary key with default gen_random_uuid(); name is required and
unique; status is required and defaults to 'active'; created_by and updated_by
are nullable uuid columns without foreign keys; created_at and updated_at use
timestamptz NOT NULL DEFAULT now().
A BEFORE UPDATE trigger invokes public.set_updated_at(); row-level security is
enabled without adding IAM-014 tenant-access policies; the migration applies
successfully to the local Supabase database; a privileged local insert succeeds;
a duplicate tenant name is rejected; updating a tenant changes updated_at; no
app_users, memberships, profiles, API files, or unrelated tables are created;
and no hosted-project migration is applied.</t>
  </si>
  <si>
    <t>CODE-047</t>
  </si>
  <si>
    <t>supabase/migrations/20260804234822_create_app_users.sql</t>
  </si>
  <si>
    <t>Create app_users migration</t>
  </si>
  <si>
    <t>Create one ordered, timestamped Supabase PostgreSQL migration for
public.app_users.
Define id as uuid primary key referencing auth.users(id), with no generated
default and ON DELETE CASCADE, so each Supabase authentication identity has at
most one application profile.
Define tenant_id as uuid NOT NULL referencing public.tenants(id) with
ON DELETE RESTRICT, modeling one tenant per app user.
Define role as text NOT NULL with an exact check constraint allowing only:
- admin
- dispatcher
- car_puller
Define full_name and phone as text NOT NULL. Do not duplicate authentication
email and do not add status, membership, invitation, or separate profile fields.
Add created_at and updated_at as timestamptz NOT NULL DEFAULT now(). Add
created_by and updated_by as nullable uuid columns without foreign keys at this
stage.
Attach a BEFORE UPDATE trigger that executes public.set_updated_at(). Add an
index on tenant_id.
Enable row-level security, but do not create access policies because app-user
and tenant policies belong to IAM-014.
Do not modify authentication, API, frontend, invitation, profile, membership,
or other application files. Apply and verify only against the local Supabase
database. Do not apply the migration to the hosted project.</t>
  </si>
  <si>
    <t>The timestamped migration creates public.app_users with id, tenant_id, role,
full_name, phone, created_at, updated_at, created_by, and updated_by.
id is a uuid primary key referencing auth.users(id), has no generated default,
and uses ON DELETE CASCADE. Inserting an app-user requires an existing auth user,
and duplicate profiles for one authentication identity are rejected.
tenant_id is required, references public.tenants(id), and uses ON DELETE
RESTRICT.
role is required and accepts only admin, dispatcher, or car_puller. Invalid role
values are rejected. full_name and phone are required.
created_at and updated_at use timestamptz NOT NULL DEFAULT now(). created_by and
updated_by are nullable uuid columns without foreign keys.
A BEFORE UPDATE trigger invokes public.set_updated_at(), and updating a profile
changes updated_at. An index exists on tenant_id.
RLS is enabled without adding IAM-014 access policies. The migration applies
successfully to the local Supabase database. Privileged local verification
confirms:
- A valid linked app-user can be inserted.
- An invalid auth-user ID is rejected.
- An invalid tenant ID is rejected.
- A duplicate auth-user ID is rejected.
- An invalid role is rejected.
- updated_at advances after an update.
No membership, invitation, API, frontend, or unrelated tables or files are
created, and no hosted-project migration is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</si>
</sst>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d\,\ yyyy"/>
    <numFmt numFmtId="165" formatCode="mmm\ d"/>
  </numFmts>
  <fonts count="8" x14ac:knownFonts="1">
    <font>
      <sz val="11"/>
      <color theme="1"/>
      <name val="Calibri"/>
      <family val="2"/>
      <scheme val="minor"/>
    </font>
    <font>
      <b/>
      <sz val="20"/>
      <color rgb="FFFFFFFF"/>
      <name val="Calibri"/>
      <family val="2"/>
    </font>
    <font>
      <i/>
      <sz val="11"/>
      <color rgb="FF1F1F1F"/>
      <name val="Calibri"/>
      <family val="2"/>
    </font>
    <font>
      <b/>
      <sz val="14"/>
      <color rgb="FFFFFFFF"/>
      <name val="Calibri"/>
      <family val="2"/>
    </font>
    <font>
      <b/>
      <sz val="12"/>
      <color rgb="FFFFFFFF"/>
      <name val="Calibri"/>
      <family val="2"/>
    </font>
    <font>
      <b/>
      <sz val="18"/>
      <color rgb="FF0F766E"/>
      <name val="Calibri"/>
      <family val="2"/>
    </font>
    <font>
      <b/>
      <sz val="11"/>
      <color rgb="FFFFFFFF"/>
      <name val="Calibri"/>
      <family val="2"/>
    </font>
    <font>
      <sz val="11"/>
      <color rgb="FF0F766E"/>
      <name val="Calibri"/>
      <family val="2"/>
    </font>
  </fonts>
  <fills count="8">
    <fill>
      <patternFill patternType="none"/>
    </fill>
    <fill>
      <patternFill patternType="gray125"/>
    </fill>
    <fill>
      <patternFill patternType="solid">
        <fgColor rgb="FF17365D"/>
      </patternFill>
    </fill>
    <fill>
      <patternFill patternType="solid">
        <fgColor rgb="FFD9EAF7"/>
      </patternFill>
    </fill>
    <fill>
      <patternFill patternType="solid">
        <fgColor rgb="FF0F766E"/>
      </patternFill>
    </fill>
    <fill>
      <patternFill patternType="solid">
        <fgColor rgb="FF1F4E78"/>
      </patternFill>
    </fill>
    <fill>
      <patternFill patternType="solid">
        <fgColor rgb="FF7030A0"/>
      </patternFill>
    </fill>
    <fill>
      <patternFill patternType="solid">
        <fgColor theme="3" tint="0.39997558519241921"/>
        <bgColor indexed="64"/>
      </patternFill>
    </fill>
  </fills>
  <borders count="3">
    <border>
      <left/>
      <right/>
      <top/>
      <bottom/>
      <diagonal/>
    </border>
    <border>
      <left/>
      <right/>
      <top/>
      <bottom style="medium">
        <color rgb="FF1F4E78"/>
      </bottom>
      <diagonal/>
    </border>
    <border>
      <left/>
      <right/>
      <top/>
      <bottom style="thin">
        <color rgb="FFD9E1F2"/>
      </bottom>
      <diagonal/>
    </border>
  </borders>
  <cellStyleXfs count="1">
    <xf numFmtId="0" fontId="0" fillId="0" borderId="0"/>
  </cellStyleXfs>
  <cellXfs count="19">
    <xf numFmtId="0" fontId="0" fillId="0" borderId="0" xfId="0"/>
    <xf numFmtId="0" fontId="6" fillId="6" borderId="0" xfId="0" applyFont="1" applyFill="1"/>
    <xf numFmtId="0" fontId="6" fillId="4" borderId="0" xfId="0" applyFont="1" applyFill="1"/>
    <xf numFmtId="9" fontId="0" fillId="0" borderId="0" xfId="0" applyNumberFormat="1"/>
    <xf numFmtId="0" fontId="6" fillId="5" borderId="1" xfId="0" applyFont="1" applyFill="1" applyBorder="1" applyAlignment="1">
      <alignment horizontal="center" vertical="center" wrapText="1"/>
    </xf>
    <xf numFmtId="0" fontId="0" fillId="0" borderId="2" xfId="0" applyBorder="1" applyAlignment="1">
      <alignment vertical="top" wrapText="1"/>
    </xf>
    <xf numFmtId="164" fontId="0" fillId="0" borderId="2" xfId="0" applyNumberFormat="1" applyBorder="1" applyAlignment="1">
      <alignment vertical="top" wrapText="1"/>
    </xf>
    <xf numFmtId="165" fontId="0" fillId="0" borderId="2" xfId="0" applyNumberFormat="1" applyBorder="1" applyAlignment="1">
      <alignment vertical="top" wrapText="1"/>
    </xf>
    <xf numFmtId="0" fontId="7" fillId="4" borderId="2" xfId="0" applyFont="1" applyFill="1" applyBorder="1" applyAlignment="1">
      <alignment vertical="top" wrapText="1"/>
    </xf>
    <xf numFmtId="0" fontId="0" fillId="7" borderId="2" xfId="0" applyFill="1" applyBorder="1" applyAlignment="1">
      <alignment vertical="top" wrapText="1"/>
    </xf>
    <xf numFmtId="164" fontId="0" fillId="7" borderId="2" xfId="0" applyNumberFormat="1" applyFill="1" applyBorder="1" applyAlignment="1">
      <alignment vertical="top" wrapText="1"/>
    </xf>
    <xf numFmtId="0" fontId="0" fillId="7" borderId="0" xfId="0" applyFill="1"/>
    <xf numFmtId="0" fontId="0" fillId="0" borderId="0" xfId="0" applyAlignment="1">
      <alignment vertical="top" wrapText="1"/>
    </xf>
    <xf numFmtId="0" fontId="0" fillId="0" borderId="0" xfId="0"/>
    <xf numFmtId="0" fontId="2" fillId="3" borderId="0" xfId="0" applyFont="1" applyFill="1" applyAlignment="1">
      <alignment horizontal="center"/>
    </xf>
    <xf numFmtId="0" fontId="3" fillId="4" borderId="0" xfId="0" applyFont="1" applyFill="1"/>
    <xf numFmtId="0" fontId="1" fillId="2" borderId="0" xfId="0" applyFont="1" applyFill="1" applyAlignment="1">
      <alignment horizontal="center"/>
    </xf>
    <xf numFmtId="0" fontId="5" fillId="0" borderId="0" xfId="0" applyFont="1" applyAlignment="1">
      <alignment horizontal="center"/>
    </xf>
    <xf numFmtId="0" fontId="4" fillId="5" borderId="0" xfId="0" applyFont="1" applyFill="1"/>
  </cellXfs>
  <cellStyles count="1">
    <cellStyle name="Normal" xfId="0" builtinId="0"/>
  </cellStyles>
  <dxfs count="30">
    <dxf>
      <fill>
        <patternFill patternType="solid">
          <fgColor rgb="FFE7E6E6"/>
        </patternFill>
      </fill>
    </dxf>
    <dxf>
      <fill>
        <patternFill patternType="solid">
          <fgColor rgb="FFFFF2CC"/>
        </patternFill>
      </fill>
    </dxf>
    <dxf>
      <fill>
        <patternFill patternType="solid">
          <fgColor rgb="FFF4CCCC"/>
        </patternFill>
      </fill>
    </dxf>
    <dxf>
      <fill>
        <patternFill patternType="solid">
          <fgColor rgb="FFD9EAF7"/>
        </patternFill>
      </fill>
    </dxf>
    <dxf>
      <fill>
        <patternFill patternType="solid">
          <fgColor rgb="FFC6EFCE"/>
        </patternFill>
      </fill>
    </dxf>
    <dxf>
      <fill>
        <patternFill patternType="solid">
          <fgColor rgb="FFE7E6E6"/>
        </patternFill>
      </fill>
    </dxf>
    <dxf>
      <fill>
        <patternFill patternType="solid">
          <fgColor rgb="FFFFF2CC"/>
        </patternFill>
      </fill>
    </dxf>
    <dxf>
      <fill>
        <patternFill patternType="solid">
          <fgColor rgb="FFF4CCCC"/>
        </patternFill>
      </fill>
    </dxf>
    <dxf>
      <fill>
        <patternFill patternType="solid">
          <fgColor rgb="FFD9EAF7"/>
        </patternFill>
      </fill>
    </dxf>
    <dxf>
      <fill>
        <patternFill patternType="solid">
          <fgColor rgb="FFC6EFCE"/>
        </patternFill>
      </fill>
    </dxf>
    <dxf>
      <fill>
        <patternFill patternType="solid">
          <fgColor rgb="FFE7E6E6"/>
        </patternFill>
      </fill>
    </dxf>
    <dxf>
      <fill>
        <patternFill patternType="solid">
          <fgColor rgb="FFFFF2CC"/>
        </patternFill>
      </fill>
    </dxf>
    <dxf>
      <fill>
        <patternFill patternType="solid">
          <fgColor rgb="FFF4CCCC"/>
        </patternFill>
      </fill>
    </dxf>
    <dxf>
      <fill>
        <patternFill patternType="solid">
          <fgColor rgb="FFD9EAF7"/>
        </patternFill>
      </fill>
    </dxf>
    <dxf>
      <fill>
        <patternFill patternType="solid">
          <fgColor rgb="FFC6EFCE"/>
        </patternFill>
      </fill>
    </dxf>
    <dxf>
      <fill>
        <patternFill patternType="solid">
          <fgColor rgb="FFE7E6E6"/>
        </patternFill>
      </fill>
    </dxf>
    <dxf>
      <fill>
        <patternFill patternType="solid">
          <fgColor rgb="FFFFF2CC"/>
        </patternFill>
      </fill>
    </dxf>
    <dxf>
      <fill>
        <patternFill patternType="solid">
          <fgColor rgb="FFF4CCCC"/>
        </patternFill>
      </fill>
    </dxf>
    <dxf>
      <fill>
        <patternFill patternType="solid">
          <fgColor rgb="FFD9EAF7"/>
        </patternFill>
      </fill>
    </dxf>
    <dxf>
      <fill>
        <patternFill patternType="solid">
          <fgColor rgb="FFC6EFCE"/>
        </patternFill>
      </fill>
    </dxf>
    <dxf>
      <fill>
        <patternFill patternType="solid">
          <fgColor rgb="FFE7E6E6"/>
        </patternFill>
      </fill>
    </dxf>
    <dxf>
      <fill>
        <patternFill patternType="solid">
          <fgColor rgb="FFFFF2CC"/>
        </patternFill>
      </fill>
    </dxf>
    <dxf>
      <fill>
        <patternFill patternType="solid">
          <fgColor rgb="FFF4CCCC"/>
        </patternFill>
      </fill>
    </dxf>
    <dxf>
      <fill>
        <patternFill patternType="solid">
          <fgColor rgb="FFD9EAF7"/>
        </patternFill>
      </fill>
    </dxf>
    <dxf>
      <fill>
        <patternFill patternType="solid">
          <fgColor rgb="FFC6EFCE"/>
        </patternFill>
      </fill>
    </dxf>
    <dxf>
      <fill>
        <patternFill patternType="solid">
          <fgColor rgb="FFE7E6E6"/>
        </patternFill>
      </fill>
    </dxf>
    <dxf>
      <fill>
        <patternFill patternType="solid">
          <fgColor rgb="FFFFF2CC"/>
        </patternFill>
      </fill>
    </dxf>
    <dxf>
      <fill>
        <patternFill patternType="solid">
          <fgColor rgb="FFF4CCCC"/>
        </patternFill>
      </fill>
    </dxf>
    <dxf>
      <fill>
        <patternFill patternType="solid">
          <fgColor rgb="FFD9EAF7"/>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Work Status</a:t>
            </a:r>
          </a:p>
        </c:rich>
      </c:tx>
      <c:overlay val="1"/>
    </c:title>
    <c:autoTitleDeleted val="0"/>
    <c:plotArea>
      <c:layout/>
      <c:doughnutChart>
        <c:varyColors val="1"/>
        <c:ser>
          <c:idx val="0"/>
          <c:order val="0"/>
          <c:tx>
            <c:strRef>
              <c:f>Dashboard!$I$11</c:f>
              <c:strCache>
                <c:ptCount val="1"/>
                <c:pt idx="0">
                  <c:v>Count</c:v>
                </c:pt>
              </c:strCache>
            </c:strRef>
          </c:tx>
          <c:spPr>
            <a:ln>
              <a:prstDash val="solid"/>
            </a:ln>
          </c:spPr>
          <c:cat>
            <c:strRef>
              <c:f>Dashboard!$H$12:$H$16</c:f>
              <c:strCache>
                <c:ptCount val="5"/>
                <c:pt idx="0">
                  <c:v>Todo</c:v>
                </c:pt>
                <c:pt idx="1">
                  <c:v>In Progress</c:v>
                </c:pt>
                <c:pt idx="2">
                  <c:v>Blocked</c:v>
                </c:pt>
                <c:pt idx="3">
                  <c:v>Review</c:v>
                </c:pt>
                <c:pt idx="4">
                  <c:v>Done</c:v>
                </c:pt>
              </c:strCache>
            </c:strRef>
          </c:cat>
          <c:val>
            <c:numRef>
              <c:f>Dashboard!$I$12:$I$16</c:f>
              <c:numCache>
                <c:formatCode>General</c:formatCode>
                <c:ptCount val="5"/>
                <c:pt idx="0">
                  <c:v>61</c:v>
                </c:pt>
                <c:pt idx="1">
                  <c:v>1</c:v>
                </c:pt>
                <c:pt idx="2">
                  <c:v>0</c:v>
                </c:pt>
                <c:pt idx="3">
                  <c:v>0</c:v>
                </c:pt>
                <c:pt idx="4">
                  <c:v>11</c:v>
                </c:pt>
              </c:numCache>
            </c:numRef>
          </c:val>
          <c:extLst>
            <c:ext xmlns:c16="http://schemas.microsoft.com/office/drawing/2014/chart" uri="{C3380CC4-5D6E-409C-BE32-E72D297353CC}">
              <c16:uniqueId val="{00000000-049E-2048-8AA2-4D270F9C9135}"/>
            </c:ext>
          </c:extLst>
        </c:ser>
        <c:dLbls>
          <c:showLegendKey val="0"/>
          <c:showVal val="0"/>
          <c:showCatName val="0"/>
          <c:showSerName val="0"/>
          <c:showPercent val="0"/>
          <c:showBubbleSize val="0"/>
          <c:showLeaderLines val="1"/>
        </c:dLbls>
        <c:firstSliceAng val="0"/>
        <c:holeSize val="10"/>
      </c:doughnut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0</xdr:colOff>
      <xdr:row>17</xdr:row>
      <xdr:rowOff>0</xdr:rowOff>
    </xdr:from>
    <xdr:ext cx="2880000" cy="25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8"/>
  <sheetViews>
    <sheetView showGridLines="0" workbookViewId="0">
      <selection activeCell="A5" sqref="A5:H6"/>
    </sheetView>
  </sheetViews>
  <sheetFormatPr baseColWidth="10" defaultColWidth="8.83203125" defaultRowHeight="15" x14ac:dyDescent="0.2"/>
  <cols>
    <col min="1" max="1" width="16" customWidth="1"/>
    <col min="2" max="8" width="18" customWidth="1"/>
  </cols>
  <sheetData>
    <row r="1" spans="1:8" ht="26" x14ac:dyDescent="0.3">
      <c r="A1" s="16" t="s">
        <v>0</v>
      </c>
      <c r="B1" s="13"/>
      <c r="C1" s="13"/>
      <c r="D1" s="13"/>
      <c r="E1" s="13"/>
      <c r="F1" s="13"/>
      <c r="G1" s="13"/>
      <c r="H1" s="13"/>
    </row>
    <row r="2" spans="1:8" x14ac:dyDescent="0.2">
      <c r="A2" s="14" t="s">
        <v>1</v>
      </c>
      <c r="B2" s="13"/>
      <c r="C2" s="13"/>
      <c r="D2" s="13"/>
      <c r="E2" s="13"/>
      <c r="F2" s="13"/>
      <c r="G2" s="13"/>
      <c r="H2" s="13"/>
    </row>
    <row r="4" spans="1:8" ht="19" x14ac:dyDescent="0.25">
      <c r="A4" s="15" t="s">
        <v>2</v>
      </c>
      <c r="B4" s="13"/>
      <c r="C4" s="13"/>
      <c r="D4" s="13"/>
      <c r="E4" s="13"/>
      <c r="F4" s="13"/>
      <c r="G4" s="13"/>
      <c r="H4" s="13"/>
    </row>
    <row r="5" spans="1:8" x14ac:dyDescent="0.2">
      <c r="A5" s="12" t="s">
        <v>3</v>
      </c>
      <c r="B5" s="13"/>
      <c r="C5" s="13"/>
      <c r="D5" s="13"/>
      <c r="E5" s="13"/>
      <c r="F5" s="13"/>
      <c r="G5" s="13"/>
      <c r="H5" s="13"/>
    </row>
    <row r="6" spans="1:8" x14ac:dyDescent="0.2">
      <c r="A6" s="13"/>
      <c r="B6" s="13"/>
      <c r="C6" s="13"/>
      <c r="D6" s="13"/>
      <c r="E6" s="13"/>
      <c r="F6" s="13"/>
      <c r="G6" s="13"/>
      <c r="H6" s="13"/>
    </row>
    <row r="8" spans="1:8" ht="19" x14ac:dyDescent="0.25">
      <c r="A8" s="15" t="s">
        <v>4</v>
      </c>
      <c r="B8" s="13"/>
      <c r="C8" s="13"/>
      <c r="D8" s="13"/>
      <c r="E8" s="13"/>
      <c r="F8" s="13"/>
      <c r="G8" s="13"/>
      <c r="H8" s="13"/>
    </row>
    <row r="9" spans="1:8" x14ac:dyDescent="0.2">
      <c r="A9" s="12" t="s">
        <v>5</v>
      </c>
      <c r="B9" s="13"/>
      <c r="C9" s="13"/>
      <c r="D9" s="13"/>
      <c r="E9" s="13"/>
      <c r="F9" s="13"/>
      <c r="G9" s="13"/>
      <c r="H9" s="13"/>
    </row>
    <row r="10" spans="1:8" x14ac:dyDescent="0.2">
      <c r="A10" s="13"/>
      <c r="B10" s="13"/>
      <c r="C10" s="13"/>
      <c r="D10" s="13"/>
      <c r="E10" s="13"/>
      <c r="F10" s="13"/>
      <c r="G10" s="13"/>
      <c r="H10" s="13"/>
    </row>
    <row r="12" spans="1:8" ht="19" x14ac:dyDescent="0.25">
      <c r="A12" s="15" t="s">
        <v>6</v>
      </c>
      <c r="B12" s="13"/>
      <c r="C12" s="13"/>
      <c r="D12" s="13"/>
      <c r="E12" s="13"/>
      <c r="F12" s="13"/>
      <c r="G12" s="13"/>
      <c r="H12" s="13"/>
    </row>
    <row r="13" spans="1:8" x14ac:dyDescent="0.2">
      <c r="A13" s="12" t="s">
        <v>7</v>
      </c>
      <c r="B13" s="13"/>
      <c r="C13" s="13"/>
      <c r="D13" s="13"/>
      <c r="E13" s="13"/>
      <c r="F13" s="13"/>
      <c r="G13" s="13"/>
      <c r="H13" s="13"/>
    </row>
    <row r="14" spans="1:8" x14ac:dyDescent="0.2">
      <c r="A14" s="13"/>
      <c r="B14" s="13"/>
      <c r="C14" s="13"/>
      <c r="D14" s="13"/>
      <c r="E14" s="13"/>
      <c r="F14" s="13"/>
      <c r="G14" s="13"/>
      <c r="H14" s="13"/>
    </row>
    <row r="16" spans="1:8" ht="19" x14ac:dyDescent="0.25">
      <c r="A16" s="15" t="s">
        <v>8</v>
      </c>
      <c r="B16" s="13"/>
      <c r="C16" s="13"/>
      <c r="D16" s="13"/>
      <c r="E16" s="13"/>
      <c r="F16" s="13"/>
      <c r="G16" s="13"/>
      <c r="H16" s="13"/>
    </row>
    <row r="17" spans="1:8" x14ac:dyDescent="0.2">
      <c r="A17" s="12" t="s">
        <v>9</v>
      </c>
      <c r="B17" s="13"/>
      <c r="C17" s="13"/>
      <c r="D17" s="13"/>
      <c r="E17" s="13"/>
      <c r="F17" s="13"/>
      <c r="G17" s="13"/>
      <c r="H17" s="13"/>
    </row>
    <row r="18" spans="1:8" x14ac:dyDescent="0.2">
      <c r="A18" s="13"/>
      <c r="B18" s="13"/>
      <c r="C18" s="13"/>
      <c r="D18" s="13"/>
      <c r="E18" s="13"/>
      <c r="F18" s="13"/>
      <c r="G18" s="13"/>
      <c r="H18" s="13"/>
    </row>
  </sheetData>
  <mergeCells count="10">
    <mergeCell ref="A1:H1"/>
    <mergeCell ref="A5:H6"/>
    <mergeCell ref="A8:H8"/>
    <mergeCell ref="A12:H12"/>
    <mergeCell ref="A4:H4"/>
    <mergeCell ref="A17:H18"/>
    <mergeCell ref="A9:H10"/>
    <mergeCell ref="A13:H14"/>
    <mergeCell ref="A2:H2"/>
    <mergeCell ref="A16:H16"/>
  </mergeCells>
  <pageMargins left="0.75" right="0.75" top="1" bottom="1" header="0.5" footer="0.5"/>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20"/>
  <sheetViews>
    <sheetView showGridLines="0" zoomScale="125" workbookViewId="0">
      <selection activeCell="C36" sqref="C36:C37"/>
    </sheetView>
  </sheetViews>
  <sheetFormatPr baseColWidth="10" defaultColWidth="8.83203125" defaultRowHeight="15" x14ac:dyDescent="0.2"/>
  <cols>
    <col min="1" max="1" width="16" customWidth="1"/>
    <col min="2" max="5" width="14" customWidth="1"/>
    <col min="6" max="6" width="16" customWidth="1"/>
    <col min="7" max="7" width="4" customWidth="1"/>
    <col min="8" max="8" width="16" customWidth="1"/>
    <col min="9" max="9" width="14" customWidth="1"/>
  </cols>
  <sheetData>
    <row r="1" spans="1:9" ht="26" x14ac:dyDescent="0.3">
      <c r="A1" s="16" t="s">
        <v>10</v>
      </c>
      <c r="B1" s="13"/>
      <c r="C1" s="13"/>
      <c r="D1" s="13"/>
      <c r="E1" s="13"/>
      <c r="F1" s="13"/>
      <c r="G1" s="13"/>
      <c r="H1" s="13"/>
    </row>
    <row r="2" spans="1:9" x14ac:dyDescent="0.2">
      <c r="A2" s="14" t="s">
        <v>11</v>
      </c>
      <c r="B2" s="13"/>
      <c r="C2" s="13"/>
      <c r="D2" s="13"/>
      <c r="E2" s="13"/>
      <c r="F2" s="13"/>
      <c r="G2" s="13"/>
      <c r="H2" s="13"/>
    </row>
    <row r="4" spans="1:9" ht="16" x14ac:dyDescent="0.2">
      <c r="A4" s="18" t="s">
        <v>12</v>
      </c>
      <c r="B4" s="13"/>
      <c r="D4" s="18" t="s">
        <v>13</v>
      </c>
      <c r="E4" s="13"/>
      <c r="G4" s="18" t="s">
        <v>14</v>
      </c>
      <c r="H4" s="13"/>
    </row>
    <row r="5" spans="1:9" ht="24" x14ac:dyDescent="0.3">
      <c r="A5" s="17">
        <f>COUNTA(Backlog!A2:A500)</f>
        <v>70</v>
      </c>
      <c r="B5" s="13"/>
      <c r="D5" s="17">
        <f>COUNTIF(Backlog!F2:F500,"Done")</f>
        <v>11</v>
      </c>
      <c r="E5" s="13"/>
      <c r="G5" s="17">
        <f>COUNTIF(Backlog!F2:F500,"In Progress")</f>
        <v>1</v>
      </c>
      <c r="H5" s="13"/>
    </row>
    <row r="7" spans="1:9" ht="16" x14ac:dyDescent="0.2">
      <c r="A7" s="18" t="s">
        <v>15</v>
      </c>
      <c r="B7" s="13"/>
      <c r="D7" s="18" t="s">
        <v>16</v>
      </c>
      <c r="E7" s="13"/>
      <c r="G7" s="18" t="s">
        <v>17</v>
      </c>
      <c r="H7" s="13"/>
    </row>
    <row r="8" spans="1:9" ht="24" x14ac:dyDescent="0.3">
      <c r="A8" s="17">
        <f>COUNTIF(Backlog!F2:F500,"Blocked")</f>
        <v>0</v>
      </c>
      <c r="B8" s="13"/>
      <c r="D8" s="17">
        <f>SUM(Backlog!E2:E500)</f>
        <v>369</v>
      </c>
      <c r="E8" s="13"/>
      <c r="G8" s="17">
        <f>SUMIF(Backlog!F2:F500,"Done",Backlog!E2:E500)</f>
        <v>45</v>
      </c>
      <c r="H8" s="13"/>
    </row>
    <row r="11" spans="1:9" x14ac:dyDescent="0.2">
      <c r="A11" s="1" t="s">
        <v>18</v>
      </c>
      <c r="B11" s="1" t="s">
        <v>19</v>
      </c>
      <c r="C11" s="1" t="s">
        <v>13</v>
      </c>
      <c r="D11" s="1" t="s">
        <v>15</v>
      </c>
      <c r="E11" s="1" t="s">
        <v>20</v>
      </c>
      <c r="F11" s="1" t="s">
        <v>21</v>
      </c>
      <c r="G11" s="1"/>
      <c r="H11" s="2" t="s">
        <v>22</v>
      </c>
      <c r="I11" s="2" t="s">
        <v>23</v>
      </c>
    </row>
    <row r="12" spans="1:9" x14ac:dyDescent="0.2">
      <c r="A12" t="s">
        <v>24</v>
      </c>
      <c r="B12">
        <f>COUNTIF(Backlog!K:K,A12)</f>
        <v>9</v>
      </c>
      <c r="C12">
        <f>COUNTIFS(Backlog!K:K,A12,Backlog!F:F,"Done")</f>
        <v>8</v>
      </c>
      <c r="D12">
        <f>COUNTIFS(Backlog!K:K,A12,Backlog!F:F,"Blocked")</f>
        <v>0</v>
      </c>
      <c r="E12">
        <f>SUMIF(Backlog!K:K,A12,Backlog!E:E)</f>
        <v>35</v>
      </c>
      <c r="F12" s="3">
        <f t="shared" ref="F12:F20" si="0">IF(B12=0,0,C12/B12)</f>
        <v>0.88888888888888884</v>
      </c>
      <c r="H12" t="s">
        <v>25</v>
      </c>
      <c r="I12">
        <f>COUNTIF(Backlog!F:F,H12)</f>
        <v>61</v>
      </c>
    </row>
    <row r="13" spans="1:9" x14ac:dyDescent="0.2">
      <c r="A13" t="s">
        <v>26</v>
      </c>
      <c r="B13">
        <f>COUNTIF(Backlog!K:K,A13)</f>
        <v>9</v>
      </c>
      <c r="C13">
        <f>COUNTIFS(Backlog!K:K,A13,Backlog!F:F,"Done")</f>
        <v>1</v>
      </c>
      <c r="D13">
        <f>COUNTIFS(Backlog!K:K,A13,Backlog!F:F,"Blocked")</f>
        <v>0</v>
      </c>
      <c r="E13">
        <f>SUMIF(Backlog!K:K,A13,Backlog!E:E)</f>
        <v>47</v>
      </c>
      <c r="F13" s="3">
        <f t="shared" si="0"/>
        <v>0.1111111111111111</v>
      </c>
      <c r="H13" t="s">
        <v>14</v>
      </c>
      <c r="I13">
        <f>COUNTIF(Backlog!F:F,H13)</f>
        <v>1</v>
      </c>
    </row>
    <row r="14" spans="1:9" x14ac:dyDescent="0.2">
      <c r="A14" t="s">
        <v>27</v>
      </c>
      <c r="B14">
        <f>COUNTIF(Backlog!K:K,A14)</f>
        <v>7</v>
      </c>
      <c r="C14">
        <f>COUNTIFS(Backlog!K:K,A14,Backlog!F:F,"Done")</f>
        <v>0</v>
      </c>
      <c r="D14">
        <f>COUNTIFS(Backlog!K:K,A14,Backlog!F:F,"Blocked")</f>
        <v>0</v>
      </c>
      <c r="E14">
        <f>SUMIF(Backlog!K:K,A14,Backlog!E:E)</f>
        <v>31</v>
      </c>
      <c r="F14" s="3">
        <f t="shared" si="0"/>
        <v>0</v>
      </c>
      <c r="H14" t="s">
        <v>15</v>
      </c>
      <c r="I14">
        <f>COUNTIF(Backlog!F:F,H14)</f>
        <v>0</v>
      </c>
    </row>
    <row r="15" spans="1:9" x14ac:dyDescent="0.2">
      <c r="A15" t="s">
        <v>28</v>
      </c>
      <c r="B15">
        <f>COUNTIF(Backlog!K:K,A15)</f>
        <v>10</v>
      </c>
      <c r="C15">
        <f>COUNTIFS(Backlog!K:K,A15,Backlog!F:F,"Done")</f>
        <v>0</v>
      </c>
      <c r="D15">
        <f>COUNTIFS(Backlog!K:K,A15,Backlog!F:F,"Blocked")</f>
        <v>0</v>
      </c>
      <c r="E15">
        <f>SUMIF(Backlog!K:K,A15,Backlog!E:E)</f>
        <v>58</v>
      </c>
      <c r="F15" s="3">
        <f t="shared" si="0"/>
        <v>0</v>
      </c>
      <c r="H15" t="s">
        <v>29</v>
      </c>
      <c r="I15">
        <f>COUNTIF(Backlog!F:F,H15)</f>
        <v>0</v>
      </c>
    </row>
    <row r="16" spans="1:9" x14ac:dyDescent="0.2">
      <c r="A16" t="s">
        <v>30</v>
      </c>
      <c r="B16">
        <f>COUNTIF(Backlog!K:K,A16)</f>
        <v>8</v>
      </c>
      <c r="C16">
        <f>COUNTIFS(Backlog!K:K,A16,Backlog!F:F,"Done")</f>
        <v>0</v>
      </c>
      <c r="D16">
        <f>COUNTIFS(Backlog!K:K,A16,Backlog!F:F,"Blocked")</f>
        <v>0</v>
      </c>
      <c r="E16">
        <f>SUMIF(Backlog!K:K,A16,Backlog!E:E)</f>
        <v>53</v>
      </c>
      <c r="F16" s="3">
        <f t="shared" si="0"/>
        <v>0</v>
      </c>
      <c r="H16" t="s">
        <v>13</v>
      </c>
      <c r="I16">
        <f>COUNTIF(Backlog!F:F,H16)</f>
        <v>11</v>
      </c>
    </row>
    <row r="17" spans="1:6" x14ac:dyDescent="0.2">
      <c r="A17" t="s">
        <v>31</v>
      </c>
      <c r="B17">
        <f>COUNTIF(Backlog!K:K,A17)</f>
        <v>8</v>
      </c>
      <c r="C17">
        <f>COUNTIFS(Backlog!K:K,A17,Backlog!F:F,"Done")</f>
        <v>0</v>
      </c>
      <c r="D17">
        <f>COUNTIFS(Backlog!K:K,A17,Backlog!F:F,"Blocked")</f>
        <v>0</v>
      </c>
      <c r="E17">
        <f>SUMIF(Backlog!K:K,A17,Backlog!E:E)</f>
        <v>34</v>
      </c>
      <c r="F17" s="3">
        <f t="shared" si="0"/>
        <v>0</v>
      </c>
    </row>
    <row r="18" spans="1:6" x14ac:dyDescent="0.2">
      <c r="A18" t="s">
        <v>32</v>
      </c>
      <c r="B18">
        <f>COUNTIF(Backlog!K:K,A18)</f>
        <v>7</v>
      </c>
      <c r="C18">
        <f>COUNTIFS(Backlog!K:K,A18,Backlog!F:F,"Done")</f>
        <v>0</v>
      </c>
      <c r="D18">
        <f>COUNTIFS(Backlog!K:K,A18,Backlog!F:F,"Blocked")</f>
        <v>0</v>
      </c>
      <c r="E18">
        <f>SUMIF(Backlog!K:K,A18,Backlog!E:E)</f>
        <v>47</v>
      </c>
      <c r="F18" s="3">
        <f t="shared" si="0"/>
        <v>0</v>
      </c>
    </row>
    <row r="19" spans="1:6" x14ac:dyDescent="0.2">
      <c r="A19" t="s">
        <v>33</v>
      </c>
      <c r="B19">
        <f>COUNTIF(Backlog!K:K,A19)</f>
        <v>7</v>
      </c>
      <c r="C19">
        <f>COUNTIFS(Backlog!K:K,A19,Backlog!F:F,"Done")</f>
        <v>0</v>
      </c>
      <c r="D19">
        <f>COUNTIFS(Backlog!K:K,A19,Backlog!F:F,"Blocked")</f>
        <v>0</v>
      </c>
      <c r="E19">
        <f>SUMIF(Backlog!K:K,A19,Backlog!E:E)</f>
        <v>27</v>
      </c>
      <c r="F19" s="3">
        <f t="shared" si="0"/>
        <v>0</v>
      </c>
    </row>
    <row r="20" spans="1:6" x14ac:dyDescent="0.2">
      <c r="A20" t="s">
        <v>34</v>
      </c>
      <c r="B20">
        <f>COUNTIF(Backlog!K:K,A20)</f>
        <v>5</v>
      </c>
      <c r="C20">
        <f>COUNTIFS(Backlog!K:K,A20,Backlog!F:F,"Done")</f>
        <v>0</v>
      </c>
      <c r="D20">
        <f>COUNTIFS(Backlog!K:K,A20,Backlog!F:F,"Blocked")</f>
        <v>0</v>
      </c>
      <c r="E20">
        <f>SUMIF(Backlog!K:K,A20,Backlog!E:E)</f>
        <v>26</v>
      </c>
      <c r="F20" s="3">
        <f t="shared" si="0"/>
        <v>0</v>
      </c>
    </row>
  </sheetData>
  <mergeCells count="14">
    <mergeCell ref="A1:H1"/>
    <mergeCell ref="G8:H8"/>
    <mergeCell ref="A8:B8"/>
    <mergeCell ref="A2:H2"/>
    <mergeCell ref="D5:E5"/>
    <mergeCell ref="A5:B5"/>
    <mergeCell ref="G5:H5"/>
    <mergeCell ref="D4:E4"/>
    <mergeCell ref="A4:B4"/>
    <mergeCell ref="G4:H4"/>
    <mergeCell ref="D8:E8"/>
    <mergeCell ref="D7:E7"/>
    <mergeCell ref="A7:B7"/>
    <mergeCell ref="G7:H7"/>
  </mergeCells>
  <pageMargins left="0.75" right="0.75" top="1" bottom="1" header="0.5" footer="0.5"/>
  <pageSetup fitToHeight="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74"/>
  <sheetViews>
    <sheetView showGridLines="0" workbookViewId="0">
      <pane ySplit="1" topLeftCell="A2" activePane="bottomLeft" state="frozen"/>
      <selection pane="bottomLeft" activeCell="F11" sqref="F11"/>
    </sheetView>
  </sheetViews>
  <sheetFormatPr baseColWidth="10" defaultColWidth="8.83203125" defaultRowHeight="15" x14ac:dyDescent="0.2"/>
  <cols>
    <col min="1" max="1" width="12" customWidth="1"/>
    <col min="2" max="2" width="20" customWidth="1"/>
    <col min="3" max="3" width="32" customWidth="1"/>
    <col min="4" max="5" width="12" customWidth="1"/>
    <col min="6" max="6" width="14" customWidth="1"/>
    <col min="7" max="8" width="45" customWidth="1"/>
    <col min="9" max="10" width="14" customWidth="1"/>
    <col min="11" max="12" width="12" customWidth="1"/>
    <col min="13" max="13" width="14" customWidth="1"/>
    <col min="14" max="14" width="22" customWidth="1"/>
    <col min="15" max="15" width="55" customWidth="1"/>
    <col min="16" max="16" width="25" customWidth="1"/>
  </cols>
  <sheetData>
    <row r="1" spans="1:16" ht="16" x14ac:dyDescent="0.2">
      <c r="A1" s="4" t="s">
        <v>35</v>
      </c>
      <c r="B1" s="4" t="s">
        <v>36</v>
      </c>
      <c r="C1" s="4" t="s">
        <v>37</v>
      </c>
      <c r="D1" s="4" t="s">
        <v>38</v>
      </c>
      <c r="E1" s="4" t="s">
        <v>39</v>
      </c>
      <c r="F1" s="4" t="s">
        <v>22</v>
      </c>
      <c r="G1" s="4" t="s">
        <v>40</v>
      </c>
      <c r="H1" s="4" t="s">
        <v>41</v>
      </c>
      <c r="I1" s="4" t="s">
        <v>42</v>
      </c>
      <c r="J1" s="4" t="s">
        <v>43</v>
      </c>
      <c r="K1" s="4" t="s">
        <v>18</v>
      </c>
      <c r="L1" s="4" t="s">
        <v>44</v>
      </c>
      <c r="M1" s="4" t="s">
        <v>45</v>
      </c>
      <c r="N1" s="4" t="s">
        <v>46</v>
      </c>
      <c r="O1" s="4" t="s">
        <v>47</v>
      </c>
      <c r="P1" s="4" t="s">
        <v>48</v>
      </c>
    </row>
    <row r="2" spans="1:16" s="11" customFormat="1" ht="32" x14ac:dyDescent="0.2">
      <c r="A2" s="9" t="s">
        <v>49</v>
      </c>
      <c r="B2" s="9" t="s">
        <v>50</v>
      </c>
      <c r="C2" s="9" t="s">
        <v>51</v>
      </c>
      <c r="D2" s="9" t="s">
        <v>52</v>
      </c>
      <c r="E2" s="9">
        <v>3</v>
      </c>
      <c r="F2" s="9" t="s">
        <v>13</v>
      </c>
      <c r="G2" s="9" t="s">
        <v>53</v>
      </c>
      <c r="H2" s="9" t="s">
        <v>54</v>
      </c>
      <c r="I2" s="9" t="s">
        <v>55</v>
      </c>
      <c r="J2" s="10">
        <v>46153</v>
      </c>
      <c r="K2" s="9" t="s">
        <v>24</v>
      </c>
      <c r="L2" s="9">
        <v>1</v>
      </c>
      <c r="M2" s="10">
        <v>46153</v>
      </c>
      <c r="N2" s="9"/>
      <c r="O2" s="9" t="s">
        <v>56</v>
      </c>
      <c r="P2" s="9"/>
    </row>
    <row r="3" spans="1:16" s="11" customFormat="1" ht="112" x14ac:dyDescent="0.2">
      <c r="A3" s="9" t="s">
        <v>57</v>
      </c>
      <c r="B3" s="9" t="s">
        <v>50</v>
      </c>
      <c r="C3" s="9" t="s">
        <v>58</v>
      </c>
      <c r="D3" s="9" t="s">
        <v>52</v>
      </c>
      <c r="E3" s="9">
        <v>5</v>
      </c>
      <c r="F3" s="9" t="s">
        <v>13</v>
      </c>
      <c r="G3" s="9" t="s">
        <v>1014</v>
      </c>
      <c r="H3" s="9" t="s">
        <v>1015</v>
      </c>
      <c r="I3" s="9" t="s">
        <v>59</v>
      </c>
      <c r="J3" s="10">
        <v>46153</v>
      </c>
      <c r="K3" s="9" t="s">
        <v>24</v>
      </c>
      <c r="L3" s="9">
        <v>2</v>
      </c>
      <c r="M3" s="10">
        <v>46154</v>
      </c>
      <c r="N3" s="9" t="s">
        <v>49</v>
      </c>
      <c r="O3" s="9" t="s">
        <v>920</v>
      </c>
      <c r="P3" s="9"/>
    </row>
    <row r="4" spans="1:16" s="11" customFormat="1" ht="32" x14ac:dyDescent="0.2">
      <c r="A4" s="9" t="s">
        <v>60</v>
      </c>
      <c r="B4" s="9" t="s">
        <v>50</v>
      </c>
      <c r="C4" s="9" t="s">
        <v>61</v>
      </c>
      <c r="D4" s="9" t="s">
        <v>52</v>
      </c>
      <c r="E4" s="9">
        <v>5</v>
      </c>
      <c r="F4" s="9" t="s">
        <v>13</v>
      </c>
      <c r="G4" s="9" t="s">
        <v>62</v>
      </c>
      <c r="H4" s="9" t="s">
        <v>63</v>
      </c>
      <c r="I4" s="9" t="s">
        <v>64</v>
      </c>
      <c r="J4" s="10">
        <v>46153</v>
      </c>
      <c r="K4" s="9" t="s">
        <v>24</v>
      </c>
      <c r="L4" s="9">
        <v>2</v>
      </c>
      <c r="M4" s="10">
        <v>46154</v>
      </c>
      <c r="N4" s="9" t="s">
        <v>49</v>
      </c>
      <c r="O4" s="9" t="s">
        <v>921</v>
      </c>
      <c r="P4" s="9"/>
    </row>
    <row r="5" spans="1:16" ht="32" x14ac:dyDescent="0.2">
      <c r="A5" s="5" t="s">
        <v>65</v>
      </c>
      <c r="B5" s="5" t="s">
        <v>50</v>
      </c>
      <c r="C5" s="5" t="s">
        <v>66</v>
      </c>
      <c r="D5" s="5" t="s">
        <v>67</v>
      </c>
      <c r="E5" s="5">
        <v>3</v>
      </c>
      <c r="F5" s="5" t="s">
        <v>13</v>
      </c>
      <c r="G5" s="5" t="s">
        <v>68</v>
      </c>
      <c r="H5" s="5" t="s">
        <v>69</v>
      </c>
      <c r="I5" s="5" t="s">
        <v>55</v>
      </c>
      <c r="J5" s="6">
        <v>46154</v>
      </c>
      <c r="K5" s="5" t="s">
        <v>24</v>
      </c>
      <c r="L5" s="5">
        <v>1</v>
      </c>
      <c r="M5" s="6">
        <v>46154</v>
      </c>
      <c r="N5" s="5" t="s">
        <v>70</v>
      </c>
      <c r="O5" s="5" t="s">
        <v>922</v>
      </c>
      <c r="P5" s="5"/>
    </row>
    <row r="6" spans="1:16" ht="16" x14ac:dyDescent="0.2">
      <c r="A6" s="5" t="s">
        <v>71</v>
      </c>
      <c r="B6" s="5" t="s">
        <v>50</v>
      </c>
      <c r="C6" s="5" t="s">
        <v>72</v>
      </c>
      <c r="D6" s="5" t="s">
        <v>67</v>
      </c>
      <c r="E6" s="5">
        <v>3</v>
      </c>
      <c r="F6" s="5" t="s">
        <v>25</v>
      </c>
      <c r="G6" s="5" t="s">
        <v>73</v>
      </c>
      <c r="H6" s="5" t="s">
        <v>74</v>
      </c>
      <c r="I6" s="5" t="s">
        <v>55</v>
      </c>
      <c r="J6" s="6">
        <v>46154</v>
      </c>
      <c r="K6" s="5" t="s">
        <v>24</v>
      </c>
      <c r="L6" s="5">
        <v>1</v>
      </c>
      <c r="M6" s="6">
        <v>46154</v>
      </c>
      <c r="N6" s="5" t="s">
        <v>70</v>
      </c>
      <c r="O6" s="5" t="s">
        <v>923</v>
      </c>
      <c r="P6" s="5"/>
    </row>
    <row r="7" spans="1:16" ht="32" x14ac:dyDescent="0.2">
      <c r="A7" s="5" t="s">
        <v>75</v>
      </c>
      <c r="B7" s="5" t="s">
        <v>76</v>
      </c>
      <c r="C7" s="5" t="s">
        <v>77</v>
      </c>
      <c r="D7" s="5" t="s">
        <v>52</v>
      </c>
      <c r="E7" s="5">
        <v>3</v>
      </c>
      <c r="F7" s="5" t="s">
        <v>13</v>
      </c>
      <c r="G7" s="5" t="s">
        <v>78</v>
      </c>
      <c r="H7" s="5" t="s">
        <v>79</v>
      </c>
      <c r="I7" s="5" t="s">
        <v>80</v>
      </c>
      <c r="J7" s="6">
        <v>46155</v>
      </c>
      <c r="K7" s="5" t="s">
        <v>24</v>
      </c>
      <c r="L7" s="5">
        <v>1</v>
      </c>
      <c r="M7" s="6">
        <v>46155</v>
      </c>
      <c r="N7" s="5" t="s">
        <v>65</v>
      </c>
      <c r="O7" s="5" t="s">
        <v>81</v>
      </c>
      <c r="P7" s="5"/>
    </row>
    <row r="8" spans="1:16" ht="32" x14ac:dyDescent="0.2">
      <c r="A8" s="5" t="s">
        <v>82</v>
      </c>
      <c r="B8" s="5" t="s">
        <v>76</v>
      </c>
      <c r="C8" s="5" t="s">
        <v>83</v>
      </c>
      <c r="D8" s="5" t="s">
        <v>67</v>
      </c>
      <c r="E8" s="5">
        <v>5</v>
      </c>
      <c r="F8" s="5" t="s">
        <v>13</v>
      </c>
      <c r="G8" s="5" t="s">
        <v>84</v>
      </c>
      <c r="H8" s="5" t="s">
        <v>85</v>
      </c>
      <c r="I8" s="5" t="s">
        <v>80</v>
      </c>
      <c r="J8" s="6">
        <v>46155</v>
      </c>
      <c r="K8" s="5" t="s">
        <v>24</v>
      </c>
      <c r="L8" s="5">
        <v>2</v>
      </c>
      <c r="M8" s="6">
        <v>46156</v>
      </c>
      <c r="N8" s="5" t="s">
        <v>75</v>
      </c>
      <c r="O8" s="5" t="s">
        <v>86</v>
      </c>
      <c r="P8" s="5"/>
    </row>
    <row r="9" spans="1:16" ht="16" x14ac:dyDescent="0.2">
      <c r="A9" s="5" t="s">
        <v>87</v>
      </c>
      <c r="B9" s="5" t="s">
        <v>88</v>
      </c>
      <c r="C9" s="5" t="s">
        <v>89</v>
      </c>
      <c r="D9" s="5" t="s">
        <v>67</v>
      </c>
      <c r="E9" s="5">
        <v>3</v>
      </c>
      <c r="F9" s="5" t="s">
        <v>13</v>
      </c>
      <c r="G9" s="5" t="s">
        <v>90</v>
      </c>
      <c r="H9" s="5" t="s">
        <v>91</v>
      </c>
      <c r="I9" s="5" t="s">
        <v>64</v>
      </c>
      <c r="J9" s="6">
        <v>46156</v>
      </c>
      <c r="K9" s="5" t="s">
        <v>24</v>
      </c>
      <c r="L9" s="5">
        <v>1</v>
      </c>
      <c r="M9" s="6">
        <v>46156</v>
      </c>
      <c r="N9" s="5" t="s">
        <v>60</v>
      </c>
      <c r="O9" s="5" t="s">
        <v>924</v>
      </c>
      <c r="P9" s="5"/>
    </row>
    <row r="10" spans="1:16" ht="32" x14ac:dyDescent="0.2">
      <c r="A10" s="5" t="s">
        <v>92</v>
      </c>
      <c r="B10" s="5" t="s">
        <v>88</v>
      </c>
      <c r="C10" s="5" t="s">
        <v>93</v>
      </c>
      <c r="D10" s="5" t="s">
        <v>67</v>
      </c>
      <c r="E10" s="5">
        <v>5</v>
      </c>
      <c r="F10" s="5" t="s">
        <v>13</v>
      </c>
      <c r="G10" s="5" t="s">
        <v>94</v>
      </c>
      <c r="H10" s="5" t="s">
        <v>95</v>
      </c>
      <c r="I10" s="5" t="s">
        <v>59</v>
      </c>
      <c r="J10" s="6">
        <v>46156</v>
      </c>
      <c r="K10" s="5" t="s">
        <v>24</v>
      </c>
      <c r="L10" s="5">
        <v>2</v>
      </c>
      <c r="M10" s="6">
        <v>46157</v>
      </c>
      <c r="N10" s="5" t="s">
        <v>57</v>
      </c>
      <c r="O10" s="5" t="s">
        <v>925</v>
      </c>
      <c r="P10" s="5"/>
    </row>
    <row r="11" spans="1:16" ht="32" x14ac:dyDescent="0.2">
      <c r="A11" s="5" t="s">
        <v>96</v>
      </c>
      <c r="B11" s="5" t="s">
        <v>97</v>
      </c>
      <c r="C11" s="5" t="s">
        <v>98</v>
      </c>
      <c r="D11" s="5" t="s">
        <v>52</v>
      </c>
      <c r="E11" s="5">
        <v>5</v>
      </c>
      <c r="F11" s="5" t="s">
        <v>13</v>
      </c>
      <c r="G11" s="5" t="s">
        <v>99</v>
      </c>
      <c r="H11" s="5" t="s">
        <v>100</v>
      </c>
      <c r="I11" s="5" t="s">
        <v>80</v>
      </c>
      <c r="J11" s="6">
        <v>46158</v>
      </c>
      <c r="K11" s="5" t="s">
        <v>26</v>
      </c>
      <c r="L11" s="5">
        <v>1</v>
      </c>
      <c r="M11" s="6">
        <v>46158</v>
      </c>
      <c r="N11" s="5" t="s">
        <v>82</v>
      </c>
      <c r="O11" s="5" t="s">
        <v>101</v>
      </c>
      <c r="P11" s="5"/>
    </row>
    <row r="12" spans="1:16" ht="16" x14ac:dyDescent="0.2">
      <c r="A12" s="5" t="s">
        <v>102</v>
      </c>
      <c r="B12" s="5" t="s">
        <v>97</v>
      </c>
      <c r="C12" s="5" t="s">
        <v>103</v>
      </c>
      <c r="D12" s="5" t="s">
        <v>52</v>
      </c>
      <c r="E12" s="5">
        <v>5</v>
      </c>
      <c r="F12" s="5" t="s">
        <v>13</v>
      </c>
      <c r="G12" s="5" t="s">
        <v>104</v>
      </c>
      <c r="H12" s="5" t="s">
        <v>105</v>
      </c>
      <c r="I12" s="5" t="s">
        <v>80</v>
      </c>
      <c r="J12" s="6">
        <v>46158</v>
      </c>
      <c r="K12" s="5" t="s">
        <v>26</v>
      </c>
      <c r="L12" s="5">
        <v>1</v>
      </c>
      <c r="M12" s="6">
        <v>46158</v>
      </c>
      <c r="N12" s="5" t="s">
        <v>96</v>
      </c>
      <c r="O12" s="5" t="s">
        <v>106</v>
      </c>
      <c r="P12" s="5"/>
    </row>
    <row r="13" spans="1:16" ht="16" x14ac:dyDescent="0.2">
      <c r="A13" s="5" t="s">
        <v>107</v>
      </c>
      <c r="B13" s="5" t="s">
        <v>97</v>
      </c>
      <c r="C13" s="5" t="s">
        <v>108</v>
      </c>
      <c r="D13" s="5" t="s">
        <v>67</v>
      </c>
      <c r="E13" s="5">
        <v>3</v>
      </c>
      <c r="F13" s="5" t="s">
        <v>25</v>
      </c>
      <c r="G13" s="5" t="s">
        <v>109</v>
      </c>
      <c r="H13" s="5" t="s">
        <v>110</v>
      </c>
      <c r="I13" s="5" t="s">
        <v>80</v>
      </c>
      <c r="J13" s="6">
        <v>46159</v>
      </c>
      <c r="K13" s="5" t="s">
        <v>26</v>
      </c>
      <c r="L13" s="5">
        <v>1</v>
      </c>
      <c r="M13" s="6">
        <v>46159</v>
      </c>
      <c r="N13" s="5" t="s">
        <v>96</v>
      </c>
      <c r="O13" s="5" t="s">
        <v>111</v>
      </c>
      <c r="P13" s="5"/>
    </row>
    <row r="14" spans="1:16" ht="32" x14ac:dyDescent="0.2">
      <c r="A14" s="5" t="s">
        <v>112</v>
      </c>
      <c r="B14" s="5" t="s">
        <v>97</v>
      </c>
      <c r="C14" s="5" t="s">
        <v>113</v>
      </c>
      <c r="D14" s="5" t="s">
        <v>67</v>
      </c>
      <c r="E14" s="5">
        <v>3</v>
      </c>
      <c r="F14" s="5" t="s">
        <v>25</v>
      </c>
      <c r="G14" s="5" t="s">
        <v>114</v>
      </c>
      <c r="H14" s="5" t="s">
        <v>115</v>
      </c>
      <c r="I14" s="5" t="s">
        <v>80</v>
      </c>
      <c r="J14" s="6">
        <v>46159</v>
      </c>
      <c r="K14" s="5" t="s">
        <v>26</v>
      </c>
      <c r="L14" s="5">
        <v>1</v>
      </c>
      <c r="M14" s="6">
        <v>46159</v>
      </c>
      <c r="N14" s="5" t="s">
        <v>102</v>
      </c>
      <c r="O14" s="5" t="s">
        <v>116</v>
      </c>
      <c r="P14" s="5"/>
    </row>
    <row r="15" spans="1:16" ht="32" x14ac:dyDescent="0.2">
      <c r="A15" s="5" t="s">
        <v>117</v>
      </c>
      <c r="B15" s="5" t="s">
        <v>118</v>
      </c>
      <c r="C15" s="5" t="s">
        <v>119</v>
      </c>
      <c r="D15" s="5" t="s">
        <v>52</v>
      </c>
      <c r="E15" s="5">
        <v>8</v>
      </c>
      <c r="F15" s="5" t="s">
        <v>25</v>
      </c>
      <c r="G15" s="5" t="s">
        <v>120</v>
      </c>
      <c r="H15" s="5" t="s">
        <v>121</v>
      </c>
      <c r="I15" s="5" t="s">
        <v>122</v>
      </c>
      <c r="J15" s="6">
        <v>46160</v>
      </c>
      <c r="K15" s="5" t="s">
        <v>26</v>
      </c>
      <c r="L15" s="5">
        <v>2</v>
      </c>
      <c r="M15" s="6">
        <v>46161</v>
      </c>
      <c r="N15" s="5" t="s">
        <v>123</v>
      </c>
      <c r="O15" s="5" t="s">
        <v>124</v>
      </c>
      <c r="P15" s="5"/>
    </row>
    <row r="16" spans="1:16" ht="16" x14ac:dyDescent="0.2">
      <c r="A16" s="5" t="s">
        <v>125</v>
      </c>
      <c r="B16" s="5" t="s">
        <v>88</v>
      </c>
      <c r="C16" s="5" t="s">
        <v>126</v>
      </c>
      <c r="D16" s="5" t="s">
        <v>52</v>
      </c>
      <c r="E16" s="5">
        <v>8</v>
      </c>
      <c r="F16" s="5" t="s">
        <v>25</v>
      </c>
      <c r="G16" s="5" t="s">
        <v>127</v>
      </c>
      <c r="H16" s="5" t="s">
        <v>128</v>
      </c>
      <c r="I16" s="5" t="s">
        <v>64</v>
      </c>
      <c r="J16" s="6">
        <v>46160</v>
      </c>
      <c r="K16" s="5" t="s">
        <v>26</v>
      </c>
      <c r="L16" s="5">
        <v>2</v>
      </c>
      <c r="M16" s="6">
        <v>46161</v>
      </c>
      <c r="N16" s="5" t="s">
        <v>129</v>
      </c>
      <c r="O16" s="5" t="s">
        <v>926</v>
      </c>
      <c r="P16" s="5"/>
    </row>
    <row r="17" spans="1:16" ht="32" x14ac:dyDescent="0.2">
      <c r="A17" s="5" t="s">
        <v>130</v>
      </c>
      <c r="B17" s="5" t="s">
        <v>88</v>
      </c>
      <c r="C17" s="5" t="s">
        <v>131</v>
      </c>
      <c r="D17" s="5" t="s">
        <v>52</v>
      </c>
      <c r="E17" s="5">
        <v>5</v>
      </c>
      <c r="F17" s="5" t="s">
        <v>25</v>
      </c>
      <c r="G17" s="5" t="s">
        <v>132</v>
      </c>
      <c r="H17" s="5" t="s">
        <v>133</v>
      </c>
      <c r="I17" s="5" t="s">
        <v>64</v>
      </c>
      <c r="J17" s="6">
        <v>46161</v>
      </c>
      <c r="K17" s="5" t="s">
        <v>26</v>
      </c>
      <c r="L17" s="5">
        <v>2</v>
      </c>
      <c r="M17" s="6">
        <v>46162</v>
      </c>
      <c r="N17" s="5" t="s">
        <v>134</v>
      </c>
      <c r="O17" s="5" t="s">
        <v>927</v>
      </c>
      <c r="P17" s="5"/>
    </row>
    <row r="18" spans="1:16" ht="32" x14ac:dyDescent="0.2">
      <c r="A18" s="5" t="s">
        <v>135</v>
      </c>
      <c r="B18" s="5" t="s">
        <v>136</v>
      </c>
      <c r="C18" s="5" t="s">
        <v>137</v>
      </c>
      <c r="D18" s="5" t="s">
        <v>67</v>
      </c>
      <c r="E18" s="5">
        <v>5</v>
      </c>
      <c r="F18" s="5" t="s">
        <v>25</v>
      </c>
      <c r="G18" s="5" t="s">
        <v>138</v>
      </c>
      <c r="H18" s="5" t="s">
        <v>139</v>
      </c>
      <c r="I18" s="5" t="s">
        <v>59</v>
      </c>
      <c r="J18" s="6">
        <v>46162</v>
      </c>
      <c r="K18" s="5" t="s">
        <v>26</v>
      </c>
      <c r="L18" s="5">
        <v>2</v>
      </c>
      <c r="M18" s="6">
        <v>46163</v>
      </c>
      <c r="N18" s="5" t="s">
        <v>140</v>
      </c>
      <c r="O18" s="5" t="s">
        <v>928</v>
      </c>
      <c r="P18" s="5"/>
    </row>
    <row r="19" spans="1:16" ht="16" x14ac:dyDescent="0.2">
      <c r="A19" s="5" t="s">
        <v>141</v>
      </c>
      <c r="B19" s="5" t="s">
        <v>142</v>
      </c>
      <c r="C19" s="5" t="s">
        <v>143</v>
      </c>
      <c r="D19" s="5" t="s">
        <v>52</v>
      </c>
      <c r="E19" s="5">
        <v>5</v>
      </c>
      <c r="F19" s="5" t="s">
        <v>25</v>
      </c>
      <c r="G19" s="5" t="s">
        <v>144</v>
      </c>
      <c r="H19" s="5" t="s">
        <v>145</v>
      </c>
      <c r="I19" s="5" t="s">
        <v>64</v>
      </c>
      <c r="J19" s="6">
        <v>46162</v>
      </c>
      <c r="K19" s="5" t="s">
        <v>26</v>
      </c>
      <c r="L19" s="5">
        <v>2</v>
      </c>
      <c r="M19" s="6">
        <v>46163</v>
      </c>
      <c r="N19" s="5" t="s">
        <v>130</v>
      </c>
      <c r="O19" s="5" t="s">
        <v>929</v>
      </c>
      <c r="P19" s="5"/>
    </row>
    <row r="20" spans="1:16" ht="16" x14ac:dyDescent="0.2">
      <c r="A20" s="5" t="s">
        <v>146</v>
      </c>
      <c r="B20" s="5" t="s">
        <v>147</v>
      </c>
      <c r="C20" s="5" t="s">
        <v>148</v>
      </c>
      <c r="D20" s="5" t="s">
        <v>67</v>
      </c>
      <c r="E20" s="5">
        <v>3</v>
      </c>
      <c r="F20" s="5" t="s">
        <v>25</v>
      </c>
      <c r="G20" s="5" t="s">
        <v>149</v>
      </c>
      <c r="H20" s="5" t="s">
        <v>150</v>
      </c>
      <c r="I20" s="5" t="s">
        <v>80</v>
      </c>
      <c r="J20" s="6">
        <v>46164</v>
      </c>
      <c r="K20" s="5" t="s">
        <v>27</v>
      </c>
      <c r="L20" s="5">
        <v>1</v>
      </c>
      <c r="M20" s="6">
        <v>46164</v>
      </c>
      <c r="N20" s="5" t="s">
        <v>117</v>
      </c>
      <c r="O20" s="5" t="s">
        <v>151</v>
      </c>
      <c r="P20" s="5"/>
    </row>
    <row r="21" spans="1:16" ht="32" x14ac:dyDescent="0.2">
      <c r="A21" s="5" t="s">
        <v>152</v>
      </c>
      <c r="B21" s="5" t="s">
        <v>147</v>
      </c>
      <c r="C21" s="5" t="s">
        <v>153</v>
      </c>
      <c r="D21" s="5" t="s">
        <v>67</v>
      </c>
      <c r="E21" s="5">
        <v>5</v>
      </c>
      <c r="F21" s="5" t="s">
        <v>25</v>
      </c>
      <c r="G21" s="5" t="s">
        <v>154</v>
      </c>
      <c r="H21" s="5" t="s">
        <v>155</v>
      </c>
      <c r="I21" s="5" t="s">
        <v>64</v>
      </c>
      <c r="J21" s="6">
        <v>46164</v>
      </c>
      <c r="K21" s="5" t="s">
        <v>27</v>
      </c>
      <c r="L21" s="5">
        <v>2</v>
      </c>
      <c r="M21" s="6">
        <v>46165</v>
      </c>
      <c r="N21" s="5" t="s">
        <v>156</v>
      </c>
      <c r="O21" s="5" t="s">
        <v>930</v>
      </c>
      <c r="P21" s="5"/>
    </row>
    <row r="22" spans="1:16" ht="16" x14ac:dyDescent="0.2">
      <c r="A22" s="5" t="s">
        <v>157</v>
      </c>
      <c r="B22" s="5" t="s">
        <v>147</v>
      </c>
      <c r="C22" s="5" t="s">
        <v>158</v>
      </c>
      <c r="D22" s="5" t="s">
        <v>67</v>
      </c>
      <c r="E22" s="5">
        <v>5</v>
      </c>
      <c r="F22" s="5" t="s">
        <v>25</v>
      </c>
      <c r="G22" s="5" t="s">
        <v>159</v>
      </c>
      <c r="H22" s="5" t="s">
        <v>160</v>
      </c>
      <c r="I22" s="5" t="s">
        <v>64</v>
      </c>
      <c r="J22" s="6">
        <v>46165</v>
      </c>
      <c r="K22" s="5" t="s">
        <v>27</v>
      </c>
      <c r="L22" s="5">
        <v>2</v>
      </c>
      <c r="M22" s="6">
        <v>46166</v>
      </c>
      <c r="N22" s="5" t="s">
        <v>152</v>
      </c>
      <c r="O22" s="5" t="s">
        <v>931</v>
      </c>
      <c r="P22" s="5"/>
    </row>
    <row r="23" spans="1:16" ht="16" x14ac:dyDescent="0.2">
      <c r="A23" s="5" t="s">
        <v>161</v>
      </c>
      <c r="B23" s="5" t="s">
        <v>162</v>
      </c>
      <c r="C23" s="5" t="s">
        <v>163</v>
      </c>
      <c r="D23" s="5" t="s">
        <v>67</v>
      </c>
      <c r="E23" s="5">
        <v>3</v>
      </c>
      <c r="F23" s="5" t="s">
        <v>25</v>
      </c>
      <c r="G23" s="5" t="s">
        <v>164</v>
      </c>
      <c r="H23" s="5" t="s">
        <v>165</v>
      </c>
      <c r="I23" s="5" t="s">
        <v>64</v>
      </c>
      <c r="J23" s="6">
        <v>46166</v>
      </c>
      <c r="K23" s="5" t="s">
        <v>27</v>
      </c>
      <c r="L23" s="5">
        <v>1</v>
      </c>
      <c r="M23" s="6">
        <v>46166</v>
      </c>
      <c r="N23" s="5" t="s">
        <v>141</v>
      </c>
      <c r="O23" s="5" t="s">
        <v>932</v>
      </c>
      <c r="P23" s="5"/>
    </row>
    <row r="24" spans="1:16" ht="32" x14ac:dyDescent="0.2">
      <c r="A24" s="5" t="s">
        <v>166</v>
      </c>
      <c r="B24" s="5" t="s">
        <v>162</v>
      </c>
      <c r="C24" s="5" t="s">
        <v>167</v>
      </c>
      <c r="D24" s="5" t="s">
        <v>168</v>
      </c>
      <c r="E24" s="5">
        <v>5</v>
      </c>
      <c r="F24" s="5" t="s">
        <v>25</v>
      </c>
      <c r="G24" s="5" t="s">
        <v>169</v>
      </c>
      <c r="H24" s="5" t="s">
        <v>170</v>
      </c>
      <c r="I24" s="5" t="s">
        <v>59</v>
      </c>
      <c r="J24" s="6">
        <v>46167</v>
      </c>
      <c r="K24" s="5" t="s">
        <v>27</v>
      </c>
      <c r="L24" s="5">
        <v>2</v>
      </c>
      <c r="M24" s="6">
        <v>46168</v>
      </c>
      <c r="N24" s="5" t="s">
        <v>171</v>
      </c>
      <c r="O24" s="5" t="s">
        <v>933</v>
      </c>
      <c r="P24" s="5"/>
    </row>
    <row r="25" spans="1:16" ht="32" x14ac:dyDescent="0.2">
      <c r="A25" s="5" t="s">
        <v>172</v>
      </c>
      <c r="B25" s="5" t="s">
        <v>173</v>
      </c>
      <c r="C25" s="5" t="s">
        <v>174</v>
      </c>
      <c r="D25" s="5" t="s">
        <v>67</v>
      </c>
      <c r="E25" s="5">
        <v>5</v>
      </c>
      <c r="F25" s="5" t="s">
        <v>25</v>
      </c>
      <c r="G25" s="5" t="s">
        <v>175</v>
      </c>
      <c r="H25" s="5" t="s">
        <v>176</v>
      </c>
      <c r="I25" s="5" t="s">
        <v>59</v>
      </c>
      <c r="J25" s="6">
        <v>46166</v>
      </c>
      <c r="K25" s="5" t="s">
        <v>27</v>
      </c>
      <c r="L25" s="5">
        <v>2</v>
      </c>
      <c r="M25" s="6">
        <v>46167</v>
      </c>
      <c r="N25" s="5" t="s">
        <v>135</v>
      </c>
      <c r="O25" s="5" t="s">
        <v>934</v>
      </c>
      <c r="P25" s="5"/>
    </row>
    <row r="26" spans="1:16" ht="32" x14ac:dyDescent="0.2">
      <c r="A26" s="5" t="s">
        <v>177</v>
      </c>
      <c r="B26" s="5" t="s">
        <v>178</v>
      </c>
      <c r="C26" s="5" t="s">
        <v>179</v>
      </c>
      <c r="D26" s="5" t="s">
        <v>168</v>
      </c>
      <c r="E26" s="5">
        <v>5</v>
      </c>
      <c r="F26" s="5" t="s">
        <v>25</v>
      </c>
      <c r="G26" s="5" t="s">
        <v>180</v>
      </c>
      <c r="H26" s="5" t="s">
        <v>181</v>
      </c>
      <c r="I26" s="5" t="s">
        <v>182</v>
      </c>
      <c r="J26" s="6">
        <v>46168</v>
      </c>
      <c r="K26" s="5" t="s">
        <v>27</v>
      </c>
      <c r="L26" s="5">
        <v>2</v>
      </c>
      <c r="M26" s="6">
        <v>46169</v>
      </c>
      <c r="N26" s="5" t="s">
        <v>183</v>
      </c>
      <c r="O26" s="5" t="s">
        <v>935</v>
      </c>
      <c r="P26" s="5"/>
    </row>
    <row r="27" spans="1:16" ht="32" x14ac:dyDescent="0.2">
      <c r="A27" s="5" t="s">
        <v>184</v>
      </c>
      <c r="B27" s="5" t="s">
        <v>185</v>
      </c>
      <c r="C27" s="5" t="s">
        <v>186</v>
      </c>
      <c r="D27" s="5" t="s">
        <v>52</v>
      </c>
      <c r="E27" s="5">
        <v>5</v>
      </c>
      <c r="F27" s="5" t="s">
        <v>25</v>
      </c>
      <c r="G27" s="5" t="s">
        <v>187</v>
      </c>
      <c r="H27" s="5" t="s">
        <v>188</v>
      </c>
      <c r="I27" s="5" t="s">
        <v>80</v>
      </c>
      <c r="J27" s="6">
        <v>46170</v>
      </c>
      <c r="K27" s="5" t="s">
        <v>28</v>
      </c>
      <c r="L27" s="5">
        <v>1</v>
      </c>
      <c r="M27" s="6">
        <v>46170</v>
      </c>
      <c r="N27" s="5" t="s">
        <v>117</v>
      </c>
      <c r="O27" s="5" t="s">
        <v>189</v>
      </c>
      <c r="P27" s="5"/>
    </row>
    <row r="28" spans="1:16" ht="32" x14ac:dyDescent="0.2">
      <c r="A28" s="5" t="s">
        <v>190</v>
      </c>
      <c r="B28" s="5" t="s">
        <v>185</v>
      </c>
      <c r="C28" s="5" t="s">
        <v>191</v>
      </c>
      <c r="D28" s="5" t="s">
        <v>67</v>
      </c>
      <c r="E28" s="5">
        <v>3</v>
      </c>
      <c r="F28" s="5" t="s">
        <v>25</v>
      </c>
      <c r="G28" s="5" t="s">
        <v>192</v>
      </c>
      <c r="H28" s="5" t="s">
        <v>193</v>
      </c>
      <c r="I28" s="5" t="s">
        <v>80</v>
      </c>
      <c r="J28" s="6">
        <v>46170</v>
      </c>
      <c r="K28" s="5" t="s">
        <v>28</v>
      </c>
      <c r="L28" s="5">
        <v>1</v>
      </c>
      <c r="M28" s="6">
        <v>46170</v>
      </c>
      <c r="N28" s="5" t="s">
        <v>184</v>
      </c>
      <c r="O28" s="5" t="s">
        <v>194</v>
      </c>
      <c r="P28" s="5"/>
    </row>
    <row r="29" spans="1:16" ht="32" x14ac:dyDescent="0.2">
      <c r="A29" s="5" t="s">
        <v>195</v>
      </c>
      <c r="B29" s="5" t="s">
        <v>196</v>
      </c>
      <c r="C29" s="5" t="s">
        <v>197</v>
      </c>
      <c r="D29" s="5" t="s">
        <v>67</v>
      </c>
      <c r="E29" s="5">
        <v>3</v>
      </c>
      <c r="F29" s="5" t="s">
        <v>25</v>
      </c>
      <c r="G29" s="5" t="s">
        <v>198</v>
      </c>
      <c r="H29" s="5" t="s">
        <v>199</v>
      </c>
      <c r="I29" s="5" t="s">
        <v>64</v>
      </c>
      <c r="J29" s="6">
        <v>46171</v>
      </c>
      <c r="K29" s="5" t="s">
        <v>28</v>
      </c>
      <c r="L29" s="5">
        <v>1</v>
      </c>
      <c r="M29" s="6">
        <v>46171</v>
      </c>
      <c r="N29" s="5" t="s">
        <v>184</v>
      </c>
      <c r="O29" s="5" t="s">
        <v>936</v>
      </c>
      <c r="P29" s="5"/>
    </row>
    <row r="30" spans="1:16" ht="32" x14ac:dyDescent="0.2">
      <c r="A30" s="5" t="s">
        <v>200</v>
      </c>
      <c r="B30" s="5" t="s">
        <v>196</v>
      </c>
      <c r="C30" s="5" t="s">
        <v>201</v>
      </c>
      <c r="D30" s="5" t="s">
        <v>52</v>
      </c>
      <c r="E30" s="5">
        <v>8</v>
      </c>
      <c r="F30" s="5" t="s">
        <v>25</v>
      </c>
      <c r="G30" s="5" t="s">
        <v>202</v>
      </c>
      <c r="H30" s="5" t="s">
        <v>203</v>
      </c>
      <c r="I30" s="5" t="s">
        <v>64</v>
      </c>
      <c r="J30" s="6">
        <v>46171</v>
      </c>
      <c r="K30" s="5" t="s">
        <v>28</v>
      </c>
      <c r="L30" s="5">
        <v>2</v>
      </c>
      <c r="M30" s="6">
        <v>46172</v>
      </c>
      <c r="N30" s="5" t="s">
        <v>204</v>
      </c>
      <c r="O30" s="5" t="s">
        <v>937</v>
      </c>
      <c r="P30" s="5"/>
    </row>
    <row r="31" spans="1:16" ht="32" x14ac:dyDescent="0.2">
      <c r="A31" s="5" t="s">
        <v>205</v>
      </c>
      <c r="B31" s="5" t="s">
        <v>196</v>
      </c>
      <c r="C31" s="5" t="s">
        <v>206</v>
      </c>
      <c r="D31" s="5" t="s">
        <v>52</v>
      </c>
      <c r="E31" s="5">
        <v>8</v>
      </c>
      <c r="F31" s="5" t="s">
        <v>25</v>
      </c>
      <c r="G31" s="5" t="s">
        <v>207</v>
      </c>
      <c r="H31" s="5" t="s">
        <v>208</v>
      </c>
      <c r="I31" s="5" t="s">
        <v>64</v>
      </c>
      <c r="J31" s="6">
        <v>46172</v>
      </c>
      <c r="K31" s="5" t="s">
        <v>28</v>
      </c>
      <c r="L31" s="5">
        <v>2</v>
      </c>
      <c r="M31" s="6">
        <v>46173</v>
      </c>
      <c r="N31" s="5" t="s">
        <v>200</v>
      </c>
      <c r="O31" s="5" t="s">
        <v>938</v>
      </c>
      <c r="P31" s="5"/>
    </row>
    <row r="32" spans="1:16" ht="32" x14ac:dyDescent="0.2">
      <c r="A32" s="5" t="s">
        <v>209</v>
      </c>
      <c r="B32" s="5" t="s">
        <v>196</v>
      </c>
      <c r="C32" s="5" t="s">
        <v>210</v>
      </c>
      <c r="D32" s="5" t="s">
        <v>67</v>
      </c>
      <c r="E32" s="5">
        <v>5</v>
      </c>
      <c r="F32" s="5" t="s">
        <v>25</v>
      </c>
      <c r="G32" s="5" t="s">
        <v>211</v>
      </c>
      <c r="H32" s="5" t="s">
        <v>212</v>
      </c>
      <c r="I32" s="5" t="s">
        <v>64</v>
      </c>
      <c r="J32" s="6">
        <v>46173</v>
      </c>
      <c r="K32" s="5" t="s">
        <v>28</v>
      </c>
      <c r="L32" s="5">
        <v>2</v>
      </c>
      <c r="M32" s="6">
        <v>46174</v>
      </c>
      <c r="N32" s="5" t="s">
        <v>205</v>
      </c>
      <c r="O32" s="5" t="s">
        <v>939</v>
      </c>
      <c r="P32" s="5"/>
    </row>
    <row r="33" spans="1:16" ht="48" x14ac:dyDescent="0.2">
      <c r="A33" s="5" t="s">
        <v>213</v>
      </c>
      <c r="B33" s="5" t="s">
        <v>196</v>
      </c>
      <c r="C33" s="5" t="s">
        <v>214</v>
      </c>
      <c r="D33" s="5" t="s">
        <v>52</v>
      </c>
      <c r="E33" s="5">
        <v>8</v>
      </c>
      <c r="F33" s="5" t="s">
        <v>25</v>
      </c>
      <c r="G33" s="5" t="s">
        <v>215</v>
      </c>
      <c r="H33" s="5" t="s">
        <v>216</v>
      </c>
      <c r="I33" s="5" t="s">
        <v>64</v>
      </c>
      <c r="J33" s="6">
        <v>46174</v>
      </c>
      <c r="K33" s="5" t="s">
        <v>28</v>
      </c>
      <c r="L33" s="5">
        <v>2</v>
      </c>
      <c r="M33" s="6">
        <v>46175</v>
      </c>
      <c r="N33" s="5" t="s">
        <v>217</v>
      </c>
      <c r="O33" s="5" t="s">
        <v>940</v>
      </c>
      <c r="P33" s="5"/>
    </row>
    <row r="34" spans="1:16" ht="32" x14ac:dyDescent="0.2">
      <c r="A34" s="5" t="s">
        <v>218</v>
      </c>
      <c r="B34" s="5" t="s">
        <v>219</v>
      </c>
      <c r="C34" s="5" t="s">
        <v>220</v>
      </c>
      <c r="D34" s="5" t="s">
        <v>67</v>
      </c>
      <c r="E34" s="5">
        <v>5</v>
      </c>
      <c r="F34" s="5" t="s">
        <v>25</v>
      </c>
      <c r="G34" s="5" t="s">
        <v>221</v>
      </c>
      <c r="H34" s="5" t="s">
        <v>222</v>
      </c>
      <c r="I34" s="5" t="s">
        <v>59</v>
      </c>
      <c r="J34" s="6">
        <v>46173</v>
      </c>
      <c r="K34" s="5" t="s">
        <v>28</v>
      </c>
      <c r="L34" s="5">
        <v>2</v>
      </c>
      <c r="M34" s="6">
        <v>46174</v>
      </c>
      <c r="N34" s="5" t="s">
        <v>223</v>
      </c>
      <c r="O34" s="5" t="s">
        <v>941</v>
      </c>
      <c r="P34" s="5"/>
    </row>
    <row r="35" spans="1:16" ht="32" x14ac:dyDescent="0.2">
      <c r="A35" s="5" t="s">
        <v>224</v>
      </c>
      <c r="B35" s="5" t="s">
        <v>219</v>
      </c>
      <c r="C35" s="5" t="s">
        <v>225</v>
      </c>
      <c r="D35" s="5" t="s">
        <v>67</v>
      </c>
      <c r="E35" s="5">
        <v>8</v>
      </c>
      <c r="F35" s="5" t="s">
        <v>25</v>
      </c>
      <c r="G35" s="5" t="s">
        <v>226</v>
      </c>
      <c r="H35" s="5" t="s">
        <v>227</v>
      </c>
      <c r="I35" s="5" t="s">
        <v>59</v>
      </c>
      <c r="J35" s="6">
        <v>46174</v>
      </c>
      <c r="K35" s="5" t="s">
        <v>28</v>
      </c>
      <c r="L35" s="5">
        <v>3</v>
      </c>
      <c r="M35" s="6">
        <v>46176</v>
      </c>
      <c r="N35" s="5" t="s">
        <v>228</v>
      </c>
      <c r="O35" s="5" t="s">
        <v>942</v>
      </c>
      <c r="P35" s="5"/>
    </row>
    <row r="36" spans="1:16" ht="32" x14ac:dyDescent="0.2">
      <c r="A36" s="5" t="s">
        <v>229</v>
      </c>
      <c r="B36" s="5" t="s">
        <v>219</v>
      </c>
      <c r="C36" s="5" t="s">
        <v>230</v>
      </c>
      <c r="D36" s="5" t="s">
        <v>67</v>
      </c>
      <c r="E36" s="5">
        <v>5</v>
      </c>
      <c r="F36" s="5" t="s">
        <v>25</v>
      </c>
      <c r="G36" s="5" t="s">
        <v>231</v>
      </c>
      <c r="H36" s="5" t="s">
        <v>232</v>
      </c>
      <c r="I36" s="5" t="s">
        <v>59</v>
      </c>
      <c r="J36" s="6">
        <v>46176</v>
      </c>
      <c r="K36" s="5" t="s">
        <v>28</v>
      </c>
      <c r="L36" s="5">
        <v>2</v>
      </c>
      <c r="M36" s="6">
        <v>46177</v>
      </c>
      <c r="N36" s="5" t="s">
        <v>233</v>
      </c>
      <c r="O36" s="5" t="s">
        <v>943</v>
      </c>
      <c r="P36" s="5"/>
    </row>
    <row r="37" spans="1:16" ht="32" x14ac:dyDescent="0.2">
      <c r="A37" s="5" t="s">
        <v>234</v>
      </c>
      <c r="B37" s="5" t="s">
        <v>235</v>
      </c>
      <c r="C37" s="5" t="s">
        <v>236</v>
      </c>
      <c r="D37" s="5" t="s">
        <v>52</v>
      </c>
      <c r="E37" s="5">
        <v>5</v>
      </c>
      <c r="F37" s="5" t="s">
        <v>25</v>
      </c>
      <c r="G37" s="5" t="s">
        <v>237</v>
      </c>
      <c r="H37" s="5" t="s">
        <v>238</v>
      </c>
      <c r="I37" s="5" t="s">
        <v>80</v>
      </c>
      <c r="J37" s="6">
        <v>46178</v>
      </c>
      <c r="K37" s="5" t="s">
        <v>30</v>
      </c>
      <c r="L37" s="5">
        <v>1</v>
      </c>
      <c r="M37" s="6">
        <v>46178</v>
      </c>
      <c r="N37" s="5" t="s">
        <v>117</v>
      </c>
      <c r="O37" s="5" t="s">
        <v>239</v>
      </c>
      <c r="P37" s="5"/>
    </row>
    <row r="38" spans="1:16" ht="32" x14ac:dyDescent="0.2">
      <c r="A38" s="5" t="s">
        <v>240</v>
      </c>
      <c r="B38" s="5" t="s">
        <v>241</v>
      </c>
      <c r="C38" s="5" t="s">
        <v>242</v>
      </c>
      <c r="D38" s="5" t="s">
        <v>67</v>
      </c>
      <c r="E38" s="5">
        <v>8</v>
      </c>
      <c r="F38" s="5" t="s">
        <v>25</v>
      </c>
      <c r="G38" s="5" t="s">
        <v>243</v>
      </c>
      <c r="H38" s="5" t="s">
        <v>244</v>
      </c>
      <c r="I38" s="5" t="s">
        <v>64</v>
      </c>
      <c r="J38" s="6">
        <v>46178</v>
      </c>
      <c r="K38" s="5" t="s">
        <v>30</v>
      </c>
      <c r="L38" s="5">
        <v>2</v>
      </c>
      <c r="M38" s="6">
        <v>46179</v>
      </c>
      <c r="N38" s="5" t="s">
        <v>245</v>
      </c>
      <c r="O38" s="5" t="s">
        <v>944</v>
      </c>
      <c r="P38" s="5"/>
    </row>
    <row r="39" spans="1:16" ht="32" x14ac:dyDescent="0.2">
      <c r="A39" s="5" t="s">
        <v>246</v>
      </c>
      <c r="B39" s="5" t="s">
        <v>241</v>
      </c>
      <c r="C39" s="5" t="s">
        <v>247</v>
      </c>
      <c r="D39" s="5" t="s">
        <v>67</v>
      </c>
      <c r="E39" s="5">
        <v>5</v>
      </c>
      <c r="F39" s="5" t="s">
        <v>25</v>
      </c>
      <c r="G39" s="5" t="s">
        <v>248</v>
      </c>
      <c r="H39" s="5" t="s">
        <v>249</v>
      </c>
      <c r="I39" s="5" t="s">
        <v>64</v>
      </c>
      <c r="J39" s="6">
        <v>46179</v>
      </c>
      <c r="K39" s="5" t="s">
        <v>30</v>
      </c>
      <c r="L39" s="5">
        <v>2</v>
      </c>
      <c r="M39" s="6">
        <v>46180</v>
      </c>
      <c r="N39" s="5" t="s">
        <v>240</v>
      </c>
      <c r="O39" s="5" t="s">
        <v>945</v>
      </c>
      <c r="P39" s="5"/>
    </row>
    <row r="40" spans="1:16" ht="32" x14ac:dyDescent="0.2">
      <c r="A40" s="5" t="s">
        <v>250</v>
      </c>
      <c r="B40" s="5" t="s">
        <v>251</v>
      </c>
      <c r="C40" s="5" t="s">
        <v>252</v>
      </c>
      <c r="D40" s="5" t="s">
        <v>67</v>
      </c>
      <c r="E40" s="5">
        <v>8</v>
      </c>
      <c r="F40" s="5" t="s">
        <v>25</v>
      </c>
      <c r="G40" s="5" t="s">
        <v>253</v>
      </c>
      <c r="H40" s="5" t="s">
        <v>254</v>
      </c>
      <c r="I40" s="5" t="s">
        <v>59</v>
      </c>
      <c r="J40" s="6">
        <v>46180</v>
      </c>
      <c r="K40" s="5" t="s">
        <v>30</v>
      </c>
      <c r="L40" s="5">
        <v>2</v>
      </c>
      <c r="M40" s="6">
        <v>46181</v>
      </c>
      <c r="N40" s="5" t="s">
        <v>240</v>
      </c>
      <c r="O40" s="5" t="s">
        <v>946</v>
      </c>
      <c r="P40" s="5"/>
    </row>
    <row r="41" spans="1:16" ht="16" x14ac:dyDescent="0.2">
      <c r="A41" s="5" t="s">
        <v>255</v>
      </c>
      <c r="B41" s="5" t="s">
        <v>256</v>
      </c>
      <c r="C41" s="5" t="s">
        <v>257</v>
      </c>
      <c r="D41" s="5" t="s">
        <v>52</v>
      </c>
      <c r="E41" s="5">
        <v>3</v>
      </c>
      <c r="F41" s="5" t="s">
        <v>25</v>
      </c>
      <c r="G41" s="5" t="s">
        <v>258</v>
      </c>
      <c r="H41" s="5" t="s">
        <v>259</v>
      </c>
      <c r="I41" s="5" t="s">
        <v>80</v>
      </c>
      <c r="J41" s="6">
        <v>46180</v>
      </c>
      <c r="K41" s="5" t="s">
        <v>30</v>
      </c>
      <c r="L41" s="5">
        <v>1</v>
      </c>
      <c r="M41" s="6">
        <v>46180</v>
      </c>
      <c r="N41" s="5" t="s">
        <v>260</v>
      </c>
      <c r="O41" s="5" t="s">
        <v>261</v>
      </c>
      <c r="P41" s="5"/>
    </row>
    <row r="42" spans="1:16" ht="32" x14ac:dyDescent="0.2">
      <c r="A42" s="5" t="s">
        <v>262</v>
      </c>
      <c r="B42" s="5" t="s">
        <v>256</v>
      </c>
      <c r="C42" s="5" t="s">
        <v>263</v>
      </c>
      <c r="D42" s="5" t="s">
        <v>67</v>
      </c>
      <c r="E42" s="5">
        <v>8</v>
      </c>
      <c r="F42" s="5" t="s">
        <v>25</v>
      </c>
      <c r="G42" s="5" t="s">
        <v>264</v>
      </c>
      <c r="H42" s="5" t="s">
        <v>265</v>
      </c>
      <c r="I42" s="5" t="s">
        <v>64</v>
      </c>
      <c r="J42" s="6">
        <v>46181</v>
      </c>
      <c r="K42" s="5" t="s">
        <v>30</v>
      </c>
      <c r="L42" s="5">
        <v>2</v>
      </c>
      <c r="M42" s="6">
        <v>46182</v>
      </c>
      <c r="N42" s="5" t="s">
        <v>255</v>
      </c>
      <c r="O42" s="5" t="s">
        <v>947</v>
      </c>
      <c r="P42" s="5"/>
    </row>
    <row r="43" spans="1:16" ht="32" x14ac:dyDescent="0.2">
      <c r="A43" s="5" t="s">
        <v>266</v>
      </c>
      <c r="B43" s="5" t="s">
        <v>256</v>
      </c>
      <c r="C43" s="5" t="s">
        <v>267</v>
      </c>
      <c r="D43" s="5" t="s">
        <v>67</v>
      </c>
      <c r="E43" s="5">
        <v>8</v>
      </c>
      <c r="F43" s="5" t="s">
        <v>25</v>
      </c>
      <c r="G43" s="5" t="s">
        <v>268</v>
      </c>
      <c r="H43" s="5" t="s">
        <v>269</v>
      </c>
      <c r="I43" s="5" t="s">
        <v>59</v>
      </c>
      <c r="J43" s="6">
        <v>46182</v>
      </c>
      <c r="K43" s="5" t="s">
        <v>30</v>
      </c>
      <c r="L43" s="5">
        <v>3</v>
      </c>
      <c r="M43" s="6">
        <v>46184</v>
      </c>
      <c r="N43" s="5" t="s">
        <v>270</v>
      </c>
      <c r="O43" s="5" t="s">
        <v>948</v>
      </c>
      <c r="P43" s="5"/>
    </row>
    <row r="44" spans="1:16" ht="32" x14ac:dyDescent="0.2">
      <c r="A44" s="5" t="s">
        <v>271</v>
      </c>
      <c r="B44" s="5" t="s">
        <v>256</v>
      </c>
      <c r="C44" s="5" t="s">
        <v>272</v>
      </c>
      <c r="D44" s="5" t="s">
        <v>52</v>
      </c>
      <c r="E44" s="5">
        <v>8</v>
      </c>
      <c r="F44" s="5" t="s">
        <v>25</v>
      </c>
      <c r="G44" s="5" t="s">
        <v>273</v>
      </c>
      <c r="H44" s="5" t="s">
        <v>274</v>
      </c>
      <c r="I44" s="5" t="s">
        <v>59</v>
      </c>
      <c r="J44" s="6">
        <v>46183</v>
      </c>
      <c r="K44" s="5" t="s">
        <v>30</v>
      </c>
      <c r="L44" s="5">
        <v>3</v>
      </c>
      <c r="M44" s="6">
        <v>46185</v>
      </c>
      <c r="N44" s="5" t="s">
        <v>275</v>
      </c>
      <c r="O44" s="5" t="s">
        <v>949</v>
      </c>
      <c r="P44" s="5"/>
    </row>
    <row r="45" spans="1:16" ht="16" x14ac:dyDescent="0.2">
      <c r="A45" s="5" t="s">
        <v>276</v>
      </c>
      <c r="B45" s="5" t="s">
        <v>277</v>
      </c>
      <c r="C45" s="5" t="s">
        <v>278</v>
      </c>
      <c r="D45" s="5" t="s">
        <v>67</v>
      </c>
      <c r="E45" s="5">
        <v>3</v>
      </c>
      <c r="F45" s="5" t="s">
        <v>25</v>
      </c>
      <c r="G45" s="5" t="s">
        <v>279</v>
      </c>
      <c r="H45" s="5" t="s">
        <v>280</v>
      </c>
      <c r="I45" s="5" t="s">
        <v>80</v>
      </c>
      <c r="J45" s="6">
        <v>46186</v>
      </c>
      <c r="K45" s="5" t="s">
        <v>31</v>
      </c>
      <c r="L45" s="5">
        <v>1</v>
      </c>
      <c r="M45" s="6">
        <v>46186</v>
      </c>
      <c r="N45" s="5" t="s">
        <v>117</v>
      </c>
      <c r="O45" s="5" t="s">
        <v>281</v>
      </c>
      <c r="P45" s="5"/>
    </row>
    <row r="46" spans="1:16" ht="32" x14ac:dyDescent="0.2">
      <c r="A46" s="5" t="s">
        <v>282</v>
      </c>
      <c r="B46" s="5" t="s">
        <v>277</v>
      </c>
      <c r="C46" s="5" t="s">
        <v>283</v>
      </c>
      <c r="D46" s="5" t="s">
        <v>67</v>
      </c>
      <c r="E46" s="5">
        <v>5</v>
      </c>
      <c r="F46" s="5" t="s">
        <v>25</v>
      </c>
      <c r="G46" s="5" t="s">
        <v>284</v>
      </c>
      <c r="H46" s="5" t="s">
        <v>285</v>
      </c>
      <c r="I46" s="5" t="s">
        <v>64</v>
      </c>
      <c r="J46" s="6">
        <v>46187</v>
      </c>
      <c r="K46" s="5" t="s">
        <v>31</v>
      </c>
      <c r="L46" s="5">
        <v>2</v>
      </c>
      <c r="M46" s="6">
        <v>46188</v>
      </c>
      <c r="N46" s="5" t="s">
        <v>286</v>
      </c>
      <c r="O46" s="5" t="s">
        <v>950</v>
      </c>
      <c r="P46" s="5"/>
    </row>
    <row r="47" spans="1:16" ht="16" x14ac:dyDescent="0.2">
      <c r="A47" s="5" t="s">
        <v>287</v>
      </c>
      <c r="B47" s="5" t="s">
        <v>277</v>
      </c>
      <c r="C47" s="5" t="s">
        <v>288</v>
      </c>
      <c r="D47" s="5" t="s">
        <v>168</v>
      </c>
      <c r="E47" s="5">
        <v>3</v>
      </c>
      <c r="F47" s="5" t="s">
        <v>25</v>
      </c>
      <c r="G47" s="5" t="s">
        <v>289</v>
      </c>
      <c r="H47" s="5" t="s">
        <v>290</v>
      </c>
      <c r="I47" s="5" t="s">
        <v>64</v>
      </c>
      <c r="J47" s="6">
        <v>46188</v>
      </c>
      <c r="K47" s="5" t="s">
        <v>31</v>
      </c>
      <c r="L47" s="5">
        <v>1</v>
      </c>
      <c r="M47" s="6">
        <v>46188</v>
      </c>
      <c r="N47" s="5" t="s">
        <v>282</v>
      </c>
      <c r="O47" s="5" t="s">
        <v>951</v>
      </c>
      <c r="P47" s="5"/>
    </row>
    <row r="48" spans="1:16" ht="16" x14ac:dyDescent="0.2">
      <c r="A48" s="5" t="s">
        <v>291</v>
      </c>
      <c r="B48" s="5" t="s">
        <v>277</v>
      </c>
      <c r="C48" s="5" t="s">
        <v>292</v>
      </c>
      <c r="D48" s="5" t="s">
        <v>168</v>
      </c>
      <c r="E48" s="5">
        <v>5</v>
      </c>
      <c r="F48" s="5" t="s">
        <v>25</v>
      </c>
      <c r="G48" s="5" t="s">
        <v>293</v>
      </c>
      <c r="H48" s="5" t="s">
        <v>294</v>
      </c>
      <c r="I48" s="5" t="s">
        <v>59</v>
      </c>
      <c r="J48" s="6">
        <v>46189</v>
      </c>
      <c r="K48" s="5" t="s">
        <v>31</v>
      </c>
      <c r="L48" s="5">
        <v>2</v>
      </c>
      <c r="M48" s="6">
        <v>46190</v>
      </c>
      <c r="N48" s="5" t="s">
        <v>295</v>
      </c>
      <c r="O48" s="5" t="s">
        <v>952</v>
      </c>
      <c r="P48" s="5"/>
    </row>
    <row r="49" spans="1:16" ht="32" x14ac:dyDescent="0.2">
      <c r="A49" s="5" t="s">
        <v>296</v>
      </c>
      <c r="B49" s="5" t="s">
        <v>297</v>
      </c>
      <c r="C49" s="5" t="s">
        <v>298</v>
      </c>
      <c r="D49" s="5" t="s">
        <v>67</v>
      </c>
      <c r="E49" s="5">
        <v>5</v>
      </c>
      <c r="F49" s="5" t="s">
        <v>25</v>
      </c>
      <c r="G49" s="5" t="s">
        <v>299</v>
      </c>
      <c r="H49" s="5" t="s">
        <v>300</v>
      </c>
      <c r="I49" s="5" t="s">
        <v>59</v>
      </c>
      <c r="J49" s="6">
        <v>46188</v>
      </c>
      <c r="K49" s="5" t="s">
        <v>31</v>
      </c>
      <c r="L49" s="5">
        <v>2</v>
      </c>
      <c r="M49" s="6">
        <v>46189</v>
      </c>
      <c r="N49" s="5" t="s">
        <v>301</v>
      </c>
      <c r="O49" s="5" t="s">
        <v>953</v>
      </c>
      <c r="P49" s="5"/>
    </row>
    <row r="50" spans="1:16" ht="16" x14ac:dyDescent="0.2">
      <c r="A50" s="5" t="s">
        <v>302</v>
      </c>
      <c r="B50" s="5" t="s">
        <v>297</v>
      </c>
      <c r="C50" s="5" t="s">
        <v>303</v>
      </c>
      <c r="D50" s="5" t="s">
        <v>67</v>
      </c>
      <c r="E50" s="5">
        <v>5</v>
      </c>
      <c r="F50" s="5" t="s">
        <v>25</v>
      </c>
      <c r="G50" s="5" t="s">
        <v>304</v>
      </c>
      <c r="H50" s="5" t="s">
        <v>305</v>
      </c>
      <c r="I50" s="5" t="s">
        <v>59</v>
      </c>
      <c r="J50" s="6">
        <v>46189</v>
      </c>
      <c r="K50" s="5" t="s">
        <v>31</v>
      </c>
      <c r="L50" s="5">
        <v>2</v>
      </c>
      <c r="M50" s="6">
        <v>46190</v>
      </c>
      <c r="N50" s="5" t="s">
        <v>271</v>
      </c>
      <c r="O50" s="5" t="s">
        <v>954</v>
      </c>
      <c r="P50" s="5"/>
    </row>
    <row r="51" spans="1:16" ht="16" x14ac:dyDescent="0.2">
      <c r="A51" s="5" t="s">
        <v>306</v>
      </c>
      <c r="B51" s="5" t="s">
        <v>307</v>
      </c>
      <c r="C51" s="5" t="s">
        <v>308</v>
      </c>
      <c r="D51" s="5" t="s">
        <v>168</v>
      </c>
      <c r="E51" s="5">
        <v>5</v>
      </c>
      <c r="F51" s="5" t="s">
        <v>25</v>
      </c>
      <c r="G51" s="5" t="s">
        <v>309</v>
      </c>
      <c r="H51" s="5" t="s">
        <v>310</v>
      </c>
      <c r="I51" s="5" t="s">
        <v>64</v>
      </c>
      <c r="J51" s="6">
        <v>46190</v>
      </c>
      <c r="K51" s="5" t="s">
        <v>31</v>
      </c>
      <c r="L51" s="5">
        <v>2</v>
      </c>
      <c r="M51" s="6">
        <v>46191</v>
      </c>
      <c r="N51" s="5" t="s">
        <v>205</v>
      </c>
      <c r="O51" s="5" t="s">
        <v>955</v>
      </c>
      <c r="P51" s="5"/>
    </row>
    <row r="52" spans="1:16" ht="16" x14ac:dyDescent="0.2">
      <c r="A52" s="5" t="s">
        <v>311</v>
      </c>
      <c r="B52" s="5" t="s">
        <v>307</v>
      </c>
      <c r="C52" s="5" t="s">
        <v>312</v>
      </c>
      <c r="D52" s="5" t="s">
        <v>168</v>
      </c>
      <c r="E52" s="5">
        <v>3</v>
      </c>
      <c r="F52" s="5" t="s">
        <v>25</v>
      </c>
      <c r="G52" s="5" t="s">
        <v>313</v>
      </c>
      <c r="H52" s="5" t="s">
        <v>314</v>
      </c>
      <c r="I52" s="5" t="s">
        <v>59</v>
      </c>
      <c r="J52" s="6">
        <v>46191</v>
      </c>
      <c r="K52" s="5" t="s">
        <v>31</v>
      </c>
      <c r="L52" s="5">
        <v>1</v>
      </c>
      <c r="M52" s="6">
        <v>46191</v>
      </c>
      <c r="N52" s="5" t="s">
        <v>315</v>
      </c>
      <c r="O52" s="5" t="s">
        <v>956</v>
      </c>
      <c r="P52" s="5"/>
    </row>
    <row r="53" spans="1:16" ht="32" x14ac:dyDescent="0.2">
      <c r="A53" s="5" t="s">
        <v>316</v>
      </c>
      <c r="B53" s="5" t="s">
        <v>317</v>
      </c>
      <c r="C53" s="5" t="s">
        <v>318</v>
      </c>
      <c r="D53" s="5" t="s">
        <v>67</v>
      </c>
      <c r="E53" s="5">
        <v>5</v>
      </c>
      <c r="F53" s="5" t="s">
        <v>25</v>
      </c>
      <c r="G53" s="5" t="s">
        <v>319</v>
      </c>
      <c r="H53" s="5" t="s">
        <v>320</v>
      </c>
      <c r="I53" s="5" t="s">
        <v>80</v>
      </c>
      <c r="J53" s="6">
        <v>46193</v>
      </c>
      <c r="K53" s="5" t="s">
        <v>32</v>
      </c>
      <c r="L53" s="5">
        <v>2</v>
      </c>
      <c r="M53" s="6">
        <v>46194</v>
      </c>
      <c r="N53" s="5" t="s">
        <v>321</v>
      </c>
      <c r="O53" s="5" t="s">
        <v>322</v>
      </c>
      <c r="P53" s="5"/>
    </row>
    <row r="54" spans="1:16" ht="16" x14ac:dyDescent="0.2">
      <c r="A54" s="5" t="s">
        <v>323</v>
      </c>
      <c r="B54" s="5" t="s">
        <v>317</v>
      </c>
      <c r="C54" s="5" t="s">
        <v>324</v>
      </c>
      <c r="D54" s="5" t="s">
        <v>168</v>
      </c>
      <c r="E54" s="5">
        <v>5</v>
      </c>
      <c r="F54" s="5" t="s">
        <v>25</v>
      </c>
      <c r="G54" s="5" t="s">
        <v>325</v>
      </c>
      <c r="H54" s="5" t="s">
        <v>326</v>
      </c>
      <c r="I54" s="5" t="s">
        <v>80</v>
      </c>
      <c r="J54" s="6">
        <v>46194</v>
      </c>
      <c r="K54" s="5" t="s">
        <v>32</v>
      </c>
      <c r="L54" s="5">
        <v>2</v>
      </c>
      <c r="M54" s="6">
        <v>46195</v>
      </c>
      <c r="N54" s="5" t="s">
        <v>316</v>
      </c>
      <c r="O54" s="5" t="s">
        <v>327</v>
      </c>
      <c r="P54" s="5"/>
    </row>
    <row r="55" spans="1:16" ht="32" x14ac:dyDescent="0.2">
      <c r="A55" s="5" t="s">
        <v>328</v>
      </c>
      <c r="B55" s="5" t="s">
        <v>122</v>
      </c>
      <c r="C55" s="5" t="s">
        <v>329</v>
      </c>
      <c r="D55" s="5" t="s">
        <v>52</v>
      </c>
      <c r="E55" s="5">
        <v>8</v>
      </c>
      <c r="F55" s="5" t="s">
        <v>25</v>
      </c>
      <c r="G55" s="5" t="s">
        <v>330</v>
      </c>
      <c r="H55" s="5" t="s">
        <v>331</v>
      </c>
      <c r="I55" s="5" t="s">
        <v>122</v>
      </c>
      <c r="J55" s="6">
        <v>46195</v>
      </c>
      <c r="K55" s="5" t="s">
        <v>32</v>
      </c>
      <c r="L55" s="5">
        <v>2</v>
      </c>
      <c r="M55" s="6">
        <v>46196</v>
      </c>
      <c r="N55" s="5" t="s">
        <v>332</v>
      </c>
      <c r="O55" s="5" t="s">
        <v>333</v>
      </c>
      <c r="P55" s="5"/>
    </row>
    <row r="56" spans="1:16" ht="16" x14ac:dyDescent="0.2">
      <c r="A56" s="5" t="s">
        <v>334</v>
      </c>
      <c r="B56" s="5" t="s">
        <v>335</v>
      </c>
      <c r="C56" s="5" t="s">
        <v>336</v>
      </c>
      <c r="D56" s="5" t="s">
        <v>67</v>
      </c>
      <c r="E56" s="5">
        <v>8</v>
      </c>
      <c r="F56" s="5" t="s">
        <v>25</v>
      </c>
      <c r="G56" s="5" t="s">
        <v>337</v>
      </c>
      <c r="H56" s="5" t="s">
        <v>338</v>
      </c>
      <c r="I56" s="5" t="s">
        <v>339</v>
      </c>
      <c r="J56" s="6">
        <v>46196</v>
      </c>
      <c r="K56" s="5" t="s">
        <v>32</v>
      </c>
      <c r="L56" s="5">
        <v>2</v>
      </c>
      <c r="M56" s="6">
        <v>46197</v>
      </c>
      <c r="N56" s="5" t="s">
        <v>340</v>
      </c>
      <c r="O56" s="5" t="s">
        <v>957</v>
      </c>
      <c r="P56" s="5"/>
    </row>
    <row r="57" spans="1:16" ht="16" x14ac:dyDescent="0.2">
      <c r="A57" s="5" t="s">
        <v>341</v>
      </c>
      <c r="B57" s="5" t="s">
        <v>335</v>
      </c>
      <c r="C57" s="5" t="s">
        <v>342</v>
      </c>
      <c r="D57" s="5" t="s">
        <v>67</v>
      </c>
      <c r="E57" s="5">
        <v>8</v>
      </c>
      <c r="F57" s="5" t="s">
        <v>25</v>
      </c>
      <c r="G57" s="5" t="s">
        <v>343</v>
      </c>
      <c r="H57" s="5" t="s">
        <v>344</v>
      </c>
      <c r="I57" s="5" t="s">
        <v>339</v>
      </c>
      <c r="J57" s="6">
        <v>46197</v>
      </c>
      <c r="K57" s="5" t="s">
        <v>32</v>
      </c>
      <c r="L57" s="5">
        <v>2</v>
      </c>
      <c r="M57" s="6">
        <v>46198</v>
      </c>
      <c r="N57" s="5" t="s">
        <v>345</v>
      </c>
      <c r="O57" s="5" t="s">
        <v>958</v>
      </c>
      <c r="P57" s="5"/>
    </row>
    <row r="58" spans="1:16" ht="16" x14ac:dyDescent="0.2">
      <c r="A58" s="5" t="s">
        <v>346</v>
      </c>
      <c r="B58" s="5" t="s">
        <v>335</v>
      </c>
      <c r="C58" s="5" t="s">
        <v>347</v>
      </c>
      <c r="D58" s="5" t="s">
        <v>168</v>
      </c>
      <c r="E58" s="5">
        <v>5</v>
      </c>
      <c r="F58" s="5" t="s">
        <v>25</v>
      </c>
      <c r="G58" s="5" t="s">
        <v>348</v>
      </c>
      <c r="H58" s="5" t="s">
        <v>349</v>
      </c>
      <c r="I58" s="5" t="s">
        <v>339</v>
      </c>
      <c r="J58" s="6">
        <v>46198</v>
      </c>
      <c r="K58" s="5" t="s">
        <v>32</v>
      </c>
      <c r="L58" s="5">
        <v>2</v>
      </c>
      <c r="M58" s="6">
        <v>46199</v>
      </c>
      <c r="N58" s="5" t="s">
        <v>350</v>
      </c>
      <c r="O58" s="5" t="s">
        <v>959</v>
      </c>
      <c r="P58" s="5"/>
    </row>
    <row r="59" spans="1:16" ht="16" x14ac:dyDescent="0.2">
      <c r="A59" s="5" t="s">
        <v>351</v>
      </c>
      <c r="B59" s="5" t="s">
        <v>335</v>
      </c>
      <c r="C59" s="5" t="s">
        <v>352</v>
      </c>
      <c r="D59" s="5" t="s">
        <v>67</v>
      </c>
      <c r="E59" s="5">
        <v>8</v>
      </c>
      <c r="F59" s="5" t="s">
        <v>25</v>
      </c>
      <c r="G59" s="5" t="s">
        <v>353</v>
      </c>
      <c r="H59" s="5" t="s">
        <v>354</v>
      </c>
      <c r="I59" s="5" t="s">
        <v>339</v>
      </c>
      <c r="J59" s="6">
        <v>46199</v>
      </c>
      <c r="K59" s="5" t="s">
        <v>32</v>
      </c>
      <c r="L59" s="5">
        <v>2</v>
      </c>
      <c r="M59" s="6">
        <v>46200</v>
      </c>
      <c r="N59" s="5" t="s">
        <v>355</v>
      </c>
      <c r="O59" s="5" t="s">
        <v>356</v>
      </c>
      <c r="P59" s="5"/>
    </row>
    <row r="60" spans="1:16" ht="16" x14ac:dyDescent="0.2">
      <c r="A60" s="5" t="s">
        <v>357</v>
      </c>
      <c r="B60" s="5" t="s">
        <v>358</v>
      </c>
      <c r="C60" s="5" t="s">
        <v>359</v>
      </c>
      <c r="D60" s="5" t="s">
        <v>67</v>
      </c>
      <c r="E60" s="5">
        <v>5</v>
      </c>
      <c r="F60" s="5" t="s">
        <v>25</v>
      </c>
      <c r="G60" s="5" t="s">
        <v>360</v>
      </c>
      <c r="H60" s="5" t="s">
        <v>361</v>
      </c>
      <c r="I60" s="5" t="s">
        <v>55</v>
      </c>
      <c r="J60" s="6">
        <v>46201</v>
      </c>
      <c r="K60" s="5" t="s">
        <v>33</v>
      </c>
      <c r="L60" s="5">
        <v>2</v>
      </c>
      <c r="M60" s="6">
        <v>46202</v>
      </c>
      <c r="N60" s="5" t="s">
        <v>362</v>
      </c>
      <c r="O60" s="5" t="s">
        <v>363</v>
      </c>
      <c r="P60" s="5"/>
    </row>
    <row r="61" spans="1:16" ht="16" x14ac:dyDescent="0.2">
      <c r="A61" s="5" t="s">
        <v>364</v>
      </c>
      <c r="B61" s="5" t="s">
        <v>358</v>
      </c>
      <c r="C61" s="5" t="s">
        <v>365</v>
      </c>
      <c r="D61" s="5" t="s">
        <v>67</v>
      </c>
      <c r="E61" s="5">
        <v>3</v>
      </c>
      <c r="F61" s="5" t="s">
        <v>25</v>
      </c>
      <c r="G61" s="5" t="s">
        <v>366</v>
      </c>
      <c r="H61" s="5" t="s">
        <v>367</v>
      </c>
      <c r="I61" s="5" t="s">
        <v>55</v>
      </c>
      <c r="J61" s="6">
        <v>46202</v>
      </c>
      <c r="K61" s="5" t="s">
        <v>33</v>
      </c>
      <c r="L61" s="5">
        <v>1</v>
      </c>
      <c r="M61" s="6">
        <v>46202</v>
      </c>
      <c r="N61" s="5" t="s">
        <v>357</v>
      </c>
      <c r="O61" s="5" t="s">
        <v>368</v>
      </c>
      <c r="P61" s="5"/>
    </row>
    <row r="62" spans="1:16" ht="16" x14ac:dyDescent="0.2">
      <c r="A62" s="5" t="s">
        <v>369</v>
      </c>
      <c r="B62" s="5" t="s">
        <v>358</v>
      </c>
      <c r="C62" s="5" t="s">
        <v>370</v>
      </c>
      <c r="D62" s="5" t="s">
        <v>67</v>
      </c>
      <c r="E62" s="5">
        <v>5</v>
      </c>
      <c r="F62" s="5" t="s">
        <v>25</v>
      </c>
      <c r="G62" s="5" t="s">
        <v>371</v>
      </c>
      <c r="H62" s="5" t="s">
        <v>372</v>
      </c>
      <c r="I62" s="5" t="s">
        <v>55</v>
      </c>
      <c r="J62" s="6">
        <v>46202</v>
      </c>
      <c r="K62" s="5" t="s">
        <v>33</v>
      </c>
      <c r="L62" s="5">
        <v>2</v>
      </c>
      <c r="M62" s="6">
        <v>46203</v>
      </c>
      <c r="N62" s="5" t="s">
        <v>357</v>
      </c>
      <c r="O62" s="5" t="s">
        <v>960</v>
      </c>
      <c r="P62" s="5"/>
    </row>
    <row r="63" spans="1:16" ht="16" x14ac:dyDescent="0.2">
      <c r="A63" s="5" t="s">
        <v>373</v>
      </c>
      <c r="B63" s="5" t="s">
        <v>358</v>
      </c>
      <c r="C63" s="5" t="s">
        <v>374</v>
      </c>
      <c r="D63" s="5" t="s">
        <v>52</v>
      </c>
      <c r="E63" s="5">
        <v>5</v>
      </c>
      <c r="F63" s="5" t="s">
        <v>25</v>
      </c>
      <c r="G63" s="5" t="s">
        <v>375</v>
      </c>
      <c r="H63" s="5" t="s">
        <v>376</v>
      </c>
      <c r="I63" s="5" t="s">
        <v>55</v>
      </c>
      <c r="J63" s="6">
        <v>46203</v>
      </c>
      <c r="K63" s="5" t="s">
        <v>33</v>
      </c>
      <c r="L63" s="5">
        <v>2</v>
      </c>
      <c r="M63" s="6">
        <v>46204</v>
      </c>
      <c r="N63" s="5" t="s">
        <v>377</v>
      </c>
      <c r="O63" s="5" t="s">
        <v>378</v>
      </c>
      <c r="P63" s="5"/>
    </row>
    <row r="64" spans="1:16" ht="16" x14ac:dyDescent="0.2">
      <c r="A64" s="5" t="s">
        <v>379</v>
      </c>
      <c r="B64" s="5" t="s">
        <v>358</v>
      </c>
      <c r="C64" s="5" t="s">
        <v>380</v>
      </c>
      <c r="D64" s="5" t="s">
        <v>67</v>
      </c>
      <c r="E64" s="5">
        <v>3</v>
      </c>
      <c r="F64" s="5" t="s">
        <v>25</v>
      </c>
      <c r="G64" s="5" t="s">
        <v>381</v>
      </c>
      <c r="H64" s="5" t="s">
        <v>382</v>
      </c>
      <c r="I64" s="5" t="s">
        <v>55</v>
      </c>
      <c r="J64" s="6">
        <v>46205</v>
      </c>
      <c r="K64" s="5" t="s">
        <v>33</v>
      </c>
      <c r="L64" s="5">
        <v>1</v>
      </c>
      <c r="M64" s="6">
        <v>46205</v>
      </c>
      <c r="N64" s="5" t="s">
        <v>383</v>
      </c>
      <c r="O64" s="5" t="s">
        <v>384</v>
      </c>
      <c r="P64" s="5"/>
    </row>
    <row r="65" spans="1:16" ht="16" x14ac:dyDescent="0.2">
      <c r="A65" s="5" t="s">
        <v>385</v>
      </c>
      <c r="B65" s="5" t="s">
        <v>386</v>
      </c>
      <c r="C65" s="5" t="s">
        <v>387</v>
      </c>
      <c r="D65" s="5" t="s">
        <v>67</v>
      </c>
      <c r="E65" s="5">
        <v>3</v>
      </c>
      <c r="F65" s="5" t="s">
        <v>25</v>
      </c>
      <c r="G65" s="5" t="s">
        <v>388</v>
      </c>
      <c r="H65" s="5" t="s">
        <v>389</v>
      </c>
      <c r="I65" s="5" t="s">
        <v>390</v>
      </c>
      <c r="J65" s="6">
        <v>46206</v>
      </c>
      <c r="K65" s="5" t="s">
        <v>33</v>
      </c>
      <c r="L65" s="5">
        <v>1</v>
      </c>
      <c r="M65" s="6">
        <v>46206</v>
      </c>
      <c r="N65" s="5" t="s">
        <v>391</v>
      </c>
      <c r="O65" s="5" t="s">
        <v>392</v>
      </c>
      <c r="P65" s="5"/>
    </row>
    <row r="66" spans="1:16" ht="16" x14ac:dyDescent="0.2">
      <c r="A66" s="5" t="s">
        <v>393</v>
      </c>
      <c r="B66" s="5" t="s">
        <v>386</v>
      </c>
      <c r="C66" s="5" t="s">
        <v>394</v>
      </c>
      <c r="D66" s="5" t="s">
        <v>168</v>
      </c>
      <c r="E66" s="5">
        <v>3</v>
      </c>
      <c r="F66" s="5" t="s">
        <v>25</v>
      </c>
      <c r="G66" s="5" t="s">
        <v>395</v>
      </c>
      <c r="H66" s="5" t="s">
        <v>396</v>
      </c>
      <c r="I66" s="5" t="s">
        <v>390</v>
      </c>
      <c r="J66" s="6">
        <v>46206</v>
      </c>
      <c r="K66" s="5" t="s">
        <v>33</v>
      </c>
      <c r="L66" s="5">
        <v>2</v>
      </c>
      <c r="M66" s="6">
        <v>46207</v>
      </c>
      <c r="N66" s="5" t="s">
        <v>385</v>
      </c>
      <c r="O66" s="5" t="s">
        <v>397</v>
      </c>
      <c r="P66" s="5"/>
    </row>
    <row r="67" spans="1:16" ht="32" x14ac:dyDescent="0.2">
      <c r="A67" s="5" t="s">
        <v>398</v>
      </c>
      <c r="B67" s="5" t="s">
        <v>399</v>
      </c>
      <c r="C67" s="5" t="s">
        <v>400</v>
      </c>
      <c r="D67" s="5" t="s">
        <v>168</v>
      </c>
      <c r="E67" s="5">
        <v>3</v>
      </c>
      <c r="F67" s="5" t="s">
        <v>25</v>
      </c>
      <c r="G67" s="5" t="s">
        <v>401</v>
      </c>
      <c r="H67" s="5" t="s">
        <v>402</v>
      </c>
      <c r="I67" s="5" t="s">
        <v>390</v>
      </c>
      <c r="J67" s="6">
        <v>46208</v>
      </c>
      <c r="K67" s="5" t="s">
        <v>34</v>
      </c>
      <c r="L67" s="5">
        <v>2</v>
      </c>
      <c r="M67" s="6">
        <v>46209</v>
      </c>
      <c r="N67" s="5" t="s">
        <v>385</v>
      </c>
      <c r="O67" s="5" t="s">
        <v>403</v>
      </c>
      <c r="P67" s="5"/>
    </row>
    <row r="68" spans="1:16" ht="16" x14ac:dyDescent="0.2">
      <c r="A68" s="5" t="s">
        <v>404</v>
      </c>
      <c r="B68" s="5" t="s">
        <v>399</v>
      </c>
      <c r="C68" s="5" t="s">
        <v>405</v>
      </c>
      <c r="D68" s="5" t="s">
        <v>168</v>
      </c>
      <c r="E68" s="5">
        <v>5</v>
      </c>
      <c r="F68" s="5" t="s">
        <v>25</v>
      </c>
      <c r="G68" s="5" t="s">
        <v>406</v>
      </c>
      <c r="H68" s="5" t="s">
        <v>407</v>
      </c>
      <c r="I68" s="5" t="s">
        <v>80</v>
      </c>
      <c r="J68" s="6">
        <v>46210</v>
      </c>
      <c r="K68" s="5" t="s">
        <v>34</v>
      </c>
      <c r="L68" s="5">
        <v>2</v>
      </c>
      <c r="M68" s="6">
        <v>46211</v>
      </c>
      <c r="N68" s="5" t="s">
        <v>398</v>
      </c>
      <c r="O68" s="5" t="s">
        <v>408</v>
      </c>
      <c r="P68" s="5"/>
    </row>
    <row r="69" spans="1:16" ht="16" x14ac:dyDescent="0.2">
      <c r="A69" s="5" t="s">
        <v>409</v>
      </c>
      <c r="B69" s="5" t="s">
        <v>399</v>
      </c>
      <c r="C69" s="5" t="s">
        <v>410</v>
      </c>
      <c r="D69" s="5" t="s">
        <v>168</v>
      </c>
      <c r="E69" s="5">
        <v>5</v>
      </c>
      <c r="F69" s="5" t="s">
        <v>25</v>
      </c>
      <c r="G69" s="5" t="s">
        <v>411</v>
      </c>
      <c r="H69" s="5" t="s">
        <v>412</v>
      </c>
      <c r="I69" s="5" t="s">
        <v>59</v>
      </c>
      <c r="J69" s="6">
        <v>46212</v>
      </c>
      <c r="K69" s="5" t="s">
        <v>34</v>
      </c>
      <c r="L69" s="5">
        <v>2</v>
      </c>
      <c r="M69" s="6">
        <v>46213</v>
      </c>
      <c r="N69" s="5" t="s">
        <v>413</v>
      </c>
      <c r="O69" s="5" t="s">
        <v>961</v>
      </c>
      <c r="P69" s="5"/>
    </row>
    <row r="70" spans="1:16" ht="32" x14ac:dyDescent="0.2">
      <c r="A70" s="5" t="s">
        <v>414</v>
      </c>
      <c r="B70" s="5" t="s">
        <v>415</v>
      </c>
      <c r="C70" s="5" t="s">
        <v>416</v>
      </c>
      <c r="D70" s="5" t="s">
        <v>417</v>
      </c>
      <c r="E70" s="5">
        <v>8</v>
      </c>
      <c r="F70" s="5" t="s">
        <v>25</v>
      </c>
      <c r="G70" s="5" t="s">
        <v>418</v>
      </c>
      <c r="H70" s="5" t="s">
        <v>419</v>
      </c>
      <c r="I70" s="5" t="s">
        <v>182</v>
      </c>
      <c r="J70" s="6">
        <v>46214</v>
      </c>
      <c r="K70" s="5" t="s">
        <v>34</v>
      </c>
      <c r="L70" s="5">
        <v>3</v>
      </c>
      <c r="M70" s="6">
        <v>46216</v>
      </c>
      <c r="N70" s="5" t="s">
        <v>420</v>
      </c>
      <c r="O70" s="5" t="s">
        <v>962</v>
      </c>
      <c r="P70" s="5"/>
    </row>
    <row r="71" spans="1:16" ht="16" x14ac:dyDescent="0.2">
      <c r="A71" s="5" t="s">
        <v>421</v>
      </c>
      <c r="B71" s="5" t="s">
        <v>415</v>
      </c>
      <c r="C71" s="5" t="s">
        <v>422</v>
      </c>
      <c r="D71" s="5" t="s">
        <v>417</v>
      </c>
      <c r="E71" s="5">
        <v>5</v>
      </c>
      <c r="F71" s="5" t="s">
        <v>25</v>
      </c>
      <c r="G71" s="5" t="s">
        <v>423</v>
      </c>
      <c r="H71" s="5" t="s">
        <v>424</v>
      </c>
      <c r="I71" s="5" t="s">
        <v>182</v>
      </c>
      <c r="J71" s="6">
        <v>46215</v>
      </c>
      <c r="K71" s="5" t="s">
        <v>34</v>
      </c>
      <c r="L71" s="5">
        <v>2</v>
      </c>
      <c r="M71" s="6">
        <v>46216</v>
      </c>
      <c r="N71" s="5" t="s">
        <v>425</v>
      </c>
      <c r="O71" s="5" t="s">
        <v>952</v>
      </c>
      <c r="P71" s="5"/>
    </row>
    <row r="72" spans="1:16" ht="64" x14ac:dyDescent="0.2">
      <c r="A72" s="5" t="s">
        <v>903</v>
      </c>
      <c r="B72" s="5" t="s">
        <v>904</v>
      </c>
      <c r="C72" s="5" t="s">
        <v>905</v>
      </c>
      <c r="D72" s="5" t="s">
        <v>67</v>
      </c>
      <c r="E72" s="5">
        <v>3</v>
      </c>
      <c r="F72" s="5" t="s">
        <v>14</v>
      </c>
      <c r="G72" s="5" t="s">
        <v>906</v>
      </c>
      <c r="H72" s="5" t="s">
        <v>907</v>
      </c>
      <c r="I72" s="5" t="s">
        <v>55</v>
      </c>
      <c r="J72" s="6">
        <v>46230</v>
      </c>
      <c r="K72" s="5" t="s">
        <v>908</v>
      </c>
      <c r="L72" s="5">
        <v>1</v>
      </c>
      <c r="M72" s="6">
        <v>46230</v>
      </c>
      <c r="N72" s="5" t="s">
        <v>909</v>
      </c>
      <c r="O72" s="5" t="s">
        <v>910</v>
      </c>
      <c r="P72" s="5" t="s">
        <v>911</v>
      </c>
    </row>
    <row r="73" spans="1:16" ht="80" x14ac:dyDescent="0.2">
      <c r="A73" s="5" t="s">
        <v>963</v>
      </c>
      <c r="B73" s="5" t="s">
        <v>904</v>
      </c>
      <c r="C73" s="5" t="s">
        <v>964</v>
      </c>
      <c r="D73" s="5" t="s">
        <v>67</v>
      </c>
      <c r="E73" s="5">
        <v>3</v>
      </c>
      <c r="F73" s="5" t="s">
        <v>13</v>
      </c>
      <c r="G73" s="5" t="s">
        <v>965</v>
      </c>
      <c r="H73" s="5" t="s">
        <v>966</v>
      </c>
      <c r="I73" s="5" t="s">
        <v>55</v>
      </c>
      <c r="J73" s="6">
        <v>46230</v>
      </c>
      <c r="K73" s="5" t="s">
        <v>908</v>
      </c>
      <c r="L73" s="5">
        <v>1</v>
      </c>
      <c r="M73" s="6">
        <v>46230</v>
      </c>
      <c r="N73" s="5" t="s">
        <v>903</v>
      </c>
      <c r="O73" s="5" t="s">
        <v>967</v>
      </c>
      <c r="P73" s="5" t="s">
        <v>968</v>
      </c>
    </row>
    <row r="74" spans="1:16" ht="96" x14ac:dyDescent="0.2">
      <c r="A74" s="5" t="s">
        <v>1002</v>
      </c>
      <c r="B74" s="5" t="s">
        <v>904</v>
      </c>
      <c r="C74" s="5" t="s">
        <v>1003</v>
      </c>
      <c r="D74" s="5" t="s">
        <v>67</v>
      </c>
      <c r="E74" s="5">
        <v>5</v>
      </c>
      <c r="F74" s="5" t="s">
        <v>13</v>
      </c>
      <c r="G74" s="5" t="s">
        <v>1004</v>
      </c>
      <c r="H74" s="5" t="s">
        <v>1005</v>
      </c>
      <c r="I74" s="5" t="s">
        <v>55</v>
      </c>
      <c r="J74" s="6">
        <v>46230</v>
      </c>
      <c r="K74" s="5" t="s">
        <v>908</v>
      </c>
      <c r="L74" s="5">
        <v>2</v>
      </c>
      <c r="M74" s="6">
        <v>46231</v>
      </c>
      <c r="N74" s="5" t="s">
        <v>1006</v>
      </c>
      <c r="O74" s="5" t="s">
        <v>1007</v>
      </c>
      <c r="P74" s="5" t="s">
        <v>1008</v>
      </c>
    </row>
  </sheetData>
  <autoFilter ref="A1:P74" xr:uid="{00000000-0009-0000-0000-000002000000}"/>
  <conditionalFormatting sqref="F2:F74">
    <cfRule type="expression" dxfId="29" priority="1">
      <formula>$F2="Done"</formula>
    </cfRule>
    <cfRule type="expression" dxfId="28" priority="2">
      <formula>$F2="In Progress"</formula>
    </cfRule>
    <cfRule type="expression" dxfId="27" priority="3">
      <formula>$F2="Blocked"</formula>
    </cfRule>
    <cfRule type="expression" dxfId="26" priority="4">
      <formula>$F2="Review"</formula>
    </cfRule>
    <cfRule type="expression" dxfId="25" priority="5">
      <formula>$F2="Todo"</formula>
    </cfRule>
  </conditionalFormatting>
  <dataValidations count="3">
    <dataValidation type="list" allowBlank="1" sqref="D2:D74" xr:uid="{00000000-0002-0000-0200-000000000000}">
      <formula1>"Critical,High,Medium,Low"</formula1>
    </dataValidation>
    <dataValidation type="list" allowBlank="1" sqref="F2:F74" xr:uid="{00000000-0002-0000-0200-000001000000}">
      <formula1>"Todo,In Progress,Blocked,Review,Done"</formula1>
    </dataValidation>
    <dataValidation type="list" allowBlank="1" sqref="I2:I74" xr:uid="{00000000-0002-0000-0200-000002000000}">
      <formula1>"Frontend,Backend,Database,DevOps,QA,Product,Security"</formula1>
    </dataValidation>
  </dataValidations>
  <pageMargins left="0.75" right="0.75" top="1" bottom="1" header="0.5" footer="0.5"/>
  <pageSetup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74"/>
  <sheetViews>
    <sheetView showGridLines="0" tabSelected="1" workbookViewId="0">
      <pane ySplit="1" topLeftCell="A2" activePane="bottomLeft" state="frozen"/>
      <selection pane="bottomLeft" activeCell="N16" sqref="N16"/>
    </sheetView>
  </sheetViews>
  <sheetFormatPr baseColWidth="10" defaultColWidth="8.83203125" defaultRowHeight="15" x14ac:dyDescent="0.2"/>
  <cols>
    <col min="1" max="2" width="12" customWidth="1"/>
    <col min="3" max="3" width="20" customWidth="1"/>
    <col min="4" max="4" width="34" customWidth="1"/>
    <col min="5" max="5" width="14" customWidth="1"/>
    <col min="6" max="6" width="12" customWidth="1"/>
    <col min="7" max="7" width="10" customWidth="1"/>
    <col min="8" max="8" width="14" customWidth="1"/>
    <col min="9" max="9" width="22" customWidth="1"/>
    <col min="10" max="10" width="50" customWidth="1"/>
  </cols>
  <sheetData>
    <row r="1" spans="1:10" ht="16" x14ac:dyDescent="0.2">
      <c r="A1" s="4" t="s">
        <v>18</v>
      </c>
      <c r="B1" s="4" t="s">
        <v>35</v>
      </c>
      <c r="C1" s="4" t="s">
        <v>36</v>
      </c>
      <c r="D1" s="4" t="s">
        <v>37</v>
      </c>
      <c r="E1" s="4" t="s">
        <v>426</v>
      </c>
      <c r="F1" s="4" t="s">
        <v>38</v>
      </c>
      <c r="G1" s="4" t="s">
        <v>20</v>
      </c>
      <c r="H1" s="4" t="s">
        <v>22</v>
      </c>
      <c r="I1" s="4" t="s">
        <v>46</v>
      </c>
      <c r="J1" s="4" t="s">
        <v>41</v>
      </c>
    </row>
    <row r="2" spans="1:10" ht="32" x14ac:dyDescent="0.2">
      <c r="A2" s="5" t="s">
        <v>24</v>
      </c>
      <c r="B2" s="5" t="s">
        <v>49</v>
      </c>
      <c r="C2" s="5" t="s">
        <v>50</v>
      </c>
      <c r="D2" s="5" t="s">
        <v>51</v>
      </c>
      <c r="E2" s="5" t="s">
        <v>55</v>
      </c>
      <c r="F2" s="5" t="s">
        <v>52</v>
      </c>
      <c r="G2" s="5">
        <v>3</v>
      </c>
      <c r="H2" s="5" t="s">
        <v>13</v>
      </c>
      <c r="I2" s="5"/>
      <c r="J2" s="5" t="s">
        <v>54</v>
      </c>
    </row>
    <row r="3" spans="1:10" ht="112" x14ac:dyDescent="0.2">
      <c r="A3" s="5" t="s">
        <v>24</v>
      </c>
      <c r="B3" s="5" t="s">
        <v>57</v>
      </c>
      <c r="C3" s="5" t="s">
        <v>50</v>
      </c>
      <c r="D3" s="5" t="s">
        <v>58</v>
      </c>
      <c r="E3" s="5" t="s">
        <v>59</v>
      </c>
      <c r="F3" s="5" t="s">
        <v>52</v>
      </c>
      <c r="G3" s="5">
        <v>5</v>
      </c>
      <c r="H3" s="5" t="s">
        <v>13</v>
      </c>
      <c r="I3" s="5" t="s">
        <v>49</v>
      </c>
      <c r="J3" s="5" t="s">
        <v>1015</v>
      </c>
    </row>
    <row r="4" spans="1:10" ht="16" x14ac:dyDescent="0.2">
      <c r="A4" s="5" t="s">
        <v>24</v>
      </c>
      <c r="B4" s="5" t="s">
        <v>60</v>
      </c>
      <c r="C4" s="5" t="s">
        <v>50</v>
      </c>
      <c r="D4" s="5" t="s">
        <v>61</v>
      </c>
      <c r="E4" s="5" t="s">
        <v>64</v>
      </c>
      <c r="F4" s="5" t="s">
        <v>52</v>
      </c>
      <c r="G4" s="5">
        <v>5</v>
      </c>
      <c r="H4" s="5" t="s">
        <v>13</v>
      </c>
      <c r="I4" s="5" t="s">
        <v>49</v>
      </c>
      <c r="J4" s="5" t="s">
        <v>63</v>
      </c>
    </row>
    <row r="5" spans="1:10" ht="16" x14ac:dyDescent="0.2">
      <c r="A5" s="5" t="s">
        <v>24</v>
      </c>
      <c r="B5" s="5" t="s">
        <v>65</v>
      </c>
      <c r="C5" s="5" t="s">
        <v>50</v>
      </c>
      <c r="D5" s="5" t="s">
        <v>66</v>
      </c>
      <c r="E5" s="5" t="s">
        <v>55</v>
      </c>
      <c r="F5" s="5" t="s">
        <v>67</v>
      </c>
      <c r="G5" s="5">
        <v>3</v>
      </c>
      <c r="H5" s="5" t="s">
        <v>13</v>
      </c>
      <c r="I5" s="5" t="s">
        <v>70</v>
      </c>
      <c r="J5" s="5" t="s">
        <v>69</v>
      </c>
    </row>
    <row r="6" spans="1:10" ht="16" x14ac:dyDescent="0.2">
      <c r="A6" s="5" t="s">
        <v>24</v>
      </c>
      <c r="B6" s="5" t="s">
        <v>71</v>
      </c>
      <c r="C6" s="5" t="s">
        <v>50</v>
      </c>
      <c r="D6" s="5" t="s">
        <v>72</v>
      </c>
      <c r="E6" s="5" t="s">
        <v>55</v>
      </c>
      <c r="F6" s="5" t="s">
        <v>67</v>
      </c>
      <c r="G6" s="5">
        <v>3</v>
      </c>
      <c r="H6" s="5" t="s">
        <v>25</v>
      </c>
      <c r="I6" s="5" t="s">
        <v>70</v>
      </c>
      <c r="J6" s="5" t="s">
        <v>74</v>
      </c>
    </row>
    <row r="7" spans="1:10" ht="32" x14ac:dyDescent="0.2">
      <c r="A7" s="5" t="s">
        <v>24</v>
      </c>
      <c r="B7" s="5" t="s">
        <v>75</v>
      </c>
      <c r="C7" s="5" t="s">
        <v>76</v>
      </c>
      <c r="D7" s="5" t="s">
        <v>77</v>
      </c>
      <c r="E7" s="5" t="s">
        <v>80</v>
      </c>
      <c r="F7" s="5" t="s">
        <v>52</v>
      </c>
      <c r="G7" s="5">
        <v>3</v>
      </c>
      <c r="H7" s="5" t="s">
        <v>13</v>
      </c>
      <c r="I7" s="5" t="s">
        <v>65</v>
      </c>
      <c r="J7" s="5" t="s">
        <v>79</v>
      </c>
    </row>
    <row r="8" spans="1:10" ht="16" x14ac:dyDescent="0.2">
      <c r="A8" s="5" t="s">
        <v>24</v>
      </c>
      <c r="B8" s="5" t="s">
        <v>82</v>
      </c>
      <c r="C8" s="5" t="s">
        <v>76</v>
      </c>
      <c r="D8" s="5" t="s">
        <v>83</v>
      </c>
      <c r="E8" s="5" t="s">
        <v>80</v>
      </c>
      <c r="F8" s="5" t="s">
        <v>67</v>
      </c>
      <c r="G8" s="5">
        <v>5</v>
      </c>
      <c r="H8" s="5" t="s">
        <v>13</v>
      </c>
      <c r="I8" s="5" t="s">
        <v>75</v>
      </c>
      <c r="J8" s="5" t="s">
        <v>85</v>
      </c>
    </row>
    <row r="9" spans="1:10" ht="16" x14ac:dyDescent="0.2">
      <c r="A9" s="5" t="s">
        <v>24</v>
      </c>
      <c r="B9" s="5" t="s">
        <v>87</v>
      </c>
      <c r="C9" s="5" t="s">
        <v>88</v>
      </c>
      <c r="D9" s="5" t="s">
        <v>89</v>
      </c>
      <c r="E9" s="5" t="s">
        <v>64</v>
      </c>
      <c r="F9" s="5" t="s">
        <v>67</v>
      </c>
      <c r="G9" s="5">
        <v>3</v>
      </c>
      <c r="H9" s="5" t="s">
        <v>13</v>
      </c>
      <c r="I9" s="5" t="s">
        <v>60</v>
      </c>
      <c r="J9" s="5" t="s">
        <v>91</v>
      </c>
    </row>
    <row r="10" spans="1:10" ht="32" x14ac:dyDescent="0.2">
      <c r="A10" s="5" t="s">
        <v>24</v>
      </c>
      <c r="B10" s="5" t="s">
        <v>92</v>
      </c>
      <c r="C10" s="5" t="s">
        <v>88</v>
      </c>
      <c r="D10" s="5" t="s">
        <v>93</v>
      </c>
      <c r="E10" s="5" t="s">
        <v>59</v>
      </c>
      <c r="F10" s="5" t="s">
        <v>67</v>
      </c>
      <c r="G10" s="5">
        <v>5</v>
      </c>
      <c r="H10" s="5" t="s">
        <v>13</v>
      </c>
      <c r="I10" s="5" t="s">
        <v>57</v>
      </c>
      <c r="J10" s="5" t="s">
        <v>95</v>
      </c>
    </row>
    <row r="11" spans="1:10" ht="16" x14ac:dyDescent="0.2">
      <c r="A11" s="5" t="s">
        <v>26</v>
      </c>
      <c r="B11" s="5" t="s">
        <v>96</v>
      </c>
      <c r="C11" s="5" t="s">
        <v>97</v>
      </c>
      <c r="D11" s="5" t="s">
        <v>98</v>
      </c>
      <c r="E11" s="5" t="s">
        <v>80</v>
      </c>
      <c r="F11" s="5" t="s">
        <v>52</v>
      </c>
      <c r="G11" s="5">
        <v>5</v>
      </c>
      <c r="H11" s="5" t="s">
        <v>13</v>
      </c>
      <c r="I11" s="5" t="s">
        <v>82</v>
      </c>
      <c r="J11" s="5" t="s">
        <v>100</v>
      </c>
    </row>
    <row r="12" spans="1:10" ht="16" x14ac:dyDescent="0.2">
      <c r="A12" s="5" t="s">
        <v>26</v>
      </c>
      <c r="B12" s="5" t="s">
        <v>102</v>
      </c>
      <c r="C12" s="5" t="s">
        <v>97</v>
      </c>
      <c r="D12" s="5" t="s">
        <v>103</v>
      </c>
      <c r="E12" s="5" t="s">
        <v>80</v>
      </c>
      <c r="F12" s="5" t="s">
        <v>52</v>
      </c>
      <c r="G12" s="5">
        <v>5</v>
      </c>
      <c r="H12" s="5" t="s">
        <v>13</v>
      </c>
      <c r="I12" s="5" t="s">
        <v>96</v>
      </c>
      <c r="J12" s="5" t="s">
        <v>105</v>
      </c>
    </row>
    <row r="13" spans="1:10" ht="16" x14ac:dyDescent="0.2">
      <c r="A13" s="5" t="s">
        <v>26</v>
      </c>
      <c r="B13" s="5" t="s">
        <v>107</v>
      </c>
      <c r="C13" s="5" t="s">
        <v>97</v>
      </c>
      <c r="D13" s="5" t="s">
        <v>108</v>
      </c>
      <c r="E13" s="5" t="s">
        <v>80</v>
      </c>
      <c r="F13" s="5" t="s">
        <v>67</v>
      </c>
      <c r="G13" s="5">
        <v>3</v>
      </c>
      <c r="H13" s="5" t="s">
        <v>25</v>
      </c>
      <c r="I13" s="5" t="s">
        <v>96</v>
      </c>
      <c r="J13" s="5" t="s">
        <v>110</v>
      </c>
    </row>
    <row r="14" spans="1:10" ht="16" x14ac:dyDescent="0.2">
      <c r="A14" s="5" t="s">
        <v>26</v>
      </c>
      <c r="B14" s="5" t="s">
        <v>112</v>
      </c>
      <c r="C14" s="5" t="s">
        <v>97</v>
      </c>
      <c r="D14" s="5" t="s">
        <v>113</v>
      </c>
      <c r="E14" s="5" t="s">
        <v>80</v>
      </c>
      <c r="F14" s="5" t="s">
        <v>67</v>
      </c>
      <c r="G14" s="5">
        <v>3</v>
      </c>
      <c r="H14" s="5" t="s">
        <v>25</v>
      </c>
      <c r="I14" s="5" t="s">
        <v>102</v>
      </c>
      <c r="J14" s="5" t="s">
        <v>115</v>
      </c>
    </row>
    <row r="15" spans="1:10" ht="32" x14ac:dyDescent="0.2">
      <c r="A15" s="5" t="s">
        <v>26</v>
      </c>
      <c r="B15" s="5" t="s">
        <v>117</v>
      </c>
      <c r="C15" s="5" t="s">
        <v>118</v>
      </c>
      <c r="D15" s="5" t="s">
        <v>119</v>
      </c>
      <c r="E15" s="5" t="s">
        <v>122</v>
      </c>
      <c r="F15" s="5" t="s">
        <v>52</v>
      </c>
      <c r="G15" s="5">
        <v>8</v>
      </c>
      <c r="H15" s="5" t="s">
        <v>25</v>
      </c>
      <c r="I15" s="5" t="s">
        <v>123</v>
      </c>
      <c r="J15" s="5" t="s">
        <v>121</v>
      </c>
    </row>
    <row r="16" spans="1:10" ht="16" x14ac:dyDescent="0.2">
      <c r="A16" s="5" t="s">
        <v>26</v>
      </c>
      <c r="B16" s="5" t="s">
        <v>125</v>
      </c>
      <c r="C16" s="5" t="s">
        <v>88</v>
      </c>
      <c r="D16" s="5" t="s">
        <v>126</v>
      </c>
      <c r="E16" s="5" t="s">
        <v>64</v>
      </c>
      <c r="F16" s="5" t="s">
        <v>52</v>
      </c>
      <c r="G16" s="5">
        <v>8</v>
      </c>
      <c r="H16" s="5" t="s">
        <v>25</v>
      </c>
      <c r="I16" s="5" t="s">
        <v>129</v>
      </c>
      <c r="J16" s="5" t="s">
        <v>128</v>
      </c>
    </row>
    <row r="17" spans="1:10" ht="32" x14ac:dyDescent="0.2">
      <c r="A17" s="5" t="s">
        <v>26</v>
      </c>
      <c r="B17" s="5" t="s">
        <v>130</v>
      </c>
      <c r="C17" s="5" t="s">
        <v>88</v>
      </c>
      <c r="D17" s="5" t="s">
        <v>131</v>
      </c>
      <c r="E17" s="5" t="s">
        <v>64</v>
      </c>
      <c r="F17" s="5" t="s">
        <v>52</v>
      </c>
      <c r="G17" s="5">
        <v>5</v>
      </c>
      <c r="H17" s="5" t="s">
        <v>25</v>
      </c>
      <c r="I17" s="5" t="s">
        <v>134</v>
      </c>
      <c r="J17" s="5" t="s">
        <v>133</v>
      </c>
    </row>
    <row r="18" spans="1:10" ht="16" x14ac:dyDescent="0.2">
      <c r="A18" s="5" t="s">
        <v>26</v>
      </c>
      <c r="B18" s="5" t="s">
        <v>135</v>
      </c>
      <c r="C18" s="5" t="s">
        <v>136</v>
      </c>
      <c r="D18" s="5" t="s">
        <v>137</v>
      </c>
      <c r="E18" s="5" t="s">
        <v>59</v>
      </c>
      <c r="F18" s="5" t="s">
        <v>67</v>
      </c>
      <c r="G18" s="5">
        <v>5</v>
      </c>
      <c r="H18" s="5" t="s">
        <v>25</v>
      </c>
      <c r="I18" s="5" t="s">
        <v>140</v>
      </c>
      <c r="J18" s="5" t="s">
        <v>139</v>
      </c>
    </row>
    <row r="19" spans="1:10" ht="16" x14ac:dyDescent="0.2">
      <c r="A19" s="5" t="s">
        <v>26</v>
      </c>
      <c r="B19" s="5" t="s">
        <v>141</v>
      </c>
      <c r="C19" s="5" t="s">
        <v>142</v>
      </c>
      <c r="D19" s="5" t="s">
        <v>143</v>
      </c>
      <c r="E19" s="5" t="s">
        <v>64</v>
      </c>
      <c r="F19" s="5" t="s">
        <v>52</v>
      </c>
      <c r="G19" s="5">
        <v>5</v>
      </c>
      <c r="H19" s="5" t="s">
        <v>25</v>
      </c>
      <c r="I19" s="5" t="s">
        <v>130</v>
      </c>
      <c r="J19" s="5" t="s">
        <v>145</v>
      </c>
    </row>
    <row r="20" spans="1:10" ht="16" x14ac:dyDescent="0.2">
      <c r="A20" s="5" t="s">
        <v>27</v>
      </c>
      <c r="B20" s="5" t="s">
        <v>146</v>
      </c>
      <c r="C20" s="5" t="s">
        <v>147</v>
      </c>
      <c r="D20" s="5" t="s">
        <v>148</v>
      </c>
      <c r="E20" s="5" t="s">
        <v>80</v>
      </c>
      <c r="F20" s="5" t="s">
        <v>67</v>
      </c>
      <c r="G20" s="5">
        <v>3</v>
      </c>
      <c r="H20" s="5" t="s">
        <v>25</v>
      </c>
      <c r="I20" s="5" t="s">
        <v>117</v>
      </c>
      <c r="J20" s="5" t="s">
        <v>150</v>
      </c>
    </row>
    <row r="21" spans="1:10" ht="16" x14ac:dyDescent="0.2">
      <c r="A21" s="5" t="s">
        <v>27</v>
      </c>
      <c r="B21" s="5" t="s">
        <v>152</v>
      </c>
      <c r="C21" s="5" t="s">
        <v>147</v>
      </c>
      <c r="D21" s="5" t="s">
        <v>153</v>
      </c>
      <c r="E21" s="5" t="s">
        <v>64</v>
      </c>
      <c r="F21" s="5" t="s">
        <v>67</v>
      </c>
      <c r="G21" s="5">
        <v>5</v>
      </c>
      <c r="H21" s="5" t="s">
        <v>25</v>
      </c>
      <c r="I21" s="5" t="s">
        <v>156</v>
      </c>
      <c r="J21" s="5" t="s">
        <v>155</v>
      </c>
    </row>
    <row r="22" spans="1:10" ht="16" x14ac:dyDescent="0.2">
      <c r="A22" s="5" t="s">
        <v>27</v>
      </c>
      <c r="B22" s="5" t="s">
        <v>157</v>
      </c>
      <c r="C22" s="5" t="s">
        <v>147</v>
      </c>
      <c r="D22" s="5" t="s">
        <v>158</v>
      </c>
      <c r="E22" s="5" t="s">
        <v>64</v>
      </c>
      <c r="F22" s="5" t="s">
        <v>67</v>
      </c>
      <c r="G22" s="5">
        <v>5</v>
      </c>
      <c r="H22" s="5" t="s">
        <v>25</v>
      </c>
      <c r="I22" s="5" t="s">
        <v>152</v>
      </c>
      <c r="J22" s="5" t="s">
        <v>160</v>
      </c>
    </row>
    <row r="23" spans="1:10" ht="16" x14ac:dyDescent="0.2">
      <c r="A23" s="5" t="s">
        <v>27</v>
      </c>
      <c r="B23" s="5" t="s">
        <v>161</v>
      </c>
      <c r="C23" s="5" t="s">
        <v>162</v>
      </c>
      <c r="D23" s="5" t="s">
        <v>163</v>
      </c>
      <c r="E23" s="5" t="s">
        <v>64</v>
      </c>
      <c r="F23" s="5" t="s">
        <v>67</v>
      </c>
      <c r="G23" s="5">
        <v>3</v>
      </c>
      <c r="H23" s="5" t="s">
        <v>25</v>
      </c>
      <c r="I23" s="5" t="s">
        <v>141</v>
      </c>
      <c r="J23" s="5" t="s">
        <v>165</v>
      </c>
    </row>
    <row r="24" spans="1:10" ht="16" x14ac:dyDescent="0.2">
      <c r="A24" s="5" t="s">
        <v>27</v>
      </c>
      <c r="B24" s="5" t="s">
        <v>166</v>
      </c>
      <c r="C24" s="5" t="s">
        <v>162</v>
      </c>
      <c r="D24" s="5" t="s">
        <v>167</v>
      </c>
      <c r="E24" s="5" t="s">
        <v>59</v>
      </c>
      <c r="F24" s="5" t="s">
        <v>168</v>
      </c>
      <c r="G24" s="5">
        <v>5</v>
      </c>
      <c r="H24" s="5" t="s">
        <v>25</v>
      </c>
      <c r="I24" s="5" t="s">
        <v>171</v>
      </c>
      <c r="J24" s="5" t="s">
        <v>170</v>
      </c>
    </row>
    <row r="25" spans="1:10" ht="16" x14ac:dyDescent="0.2">
      <c r="A25" s="5" t="s">
        <v>27</v>
      </c>
      <c r="B25" s="5" t="s">
        <v>172</v>
      </c>
      <c r="C25" s="5" t="s">
        <v>173</v>
      </c>
      <c r="D25" s="5" t="s">
        <v>174</v>
      </c>
      <c r="E25" s="5" t="s">
        <v>59</v>
      </c>
      <c r="F25" s="5" t="s">
        <v>67</v>
      </c>
      <c r="G25" s="5">
        <v>5</v>
      </c>
      <c r="H25" s="5" t="s">
        <v>25</v>
      </c>
      <c r="I25" s="5" t="s">
        <v>135</v>
      </c>
      <c r="J25" s="5" t="s">
        <v>176</v>
      </c>
    </row>
    <row r="26" spans="1:10" ht="16" x14ac:dyDescent="0.2">
      <c r="A26" s="5" t="s">
        <v>27</v>
      </c>
      <c r="B26" s="5" t="s">
        <v>177</v>
      </c>
      <c r="C26" s="5" t="s">
        <v>178</v>
      </c>
      <c r="D26" s="5" t="s">
        <v>179</v>
      </c>
      <c r="E26" s="5" t="s">
        <v>182</v>
      </c>
      <c r="F26" s="5" t="s">
        <v>168</v>
      </c>
      <c r="G26" s="5">
        <v>5</v>
      </c>
      <c r="H26" s="5" t="s">
        <v>25</v>
      </c>
      <c r="I26" s="5" t="s">
        <v>183</v>
      </c>
      <c r="J26" s="5" t="s">
        <v>181</v>
      </c>
    </row>
    <row r="27" spans="1:10" ht="16" x14ac:dyDescent="0.2">
      <c r="A27" s="5" t="s">
        <v>28</v>
      </c>
      <c r="B27" s="5" t="s">
        <v>184</v>
      </c>
      <c r="C27" s="5" t="s">
        <v>185</v>
      </c>
      <c r="D27" s="5" t="s">
        <v>186</v>
      </c>
      <c r="E27" s="5" t="s">
        <v>80</v>
      </c>
      <c r="F27" s="5" t="s">
        <v>52</v>
      </c>
      <c r="G27" s="5">
        <v>5</v>
      </c>
      <c r="H27" s="5" t="s">
        <v>25</v>
      </c>
      <c r="I27" s="5" t="s">
        <v>117</v>
      </c>
      <c r="J27" s="5" t="s">
        <v>188</v>
      </c>
    </row>
    <row r="28" spans="1:10" ht="16" x14ac:dyDescent="0.2">
      <c r="A28" s="5" t="s">
        <v>28</v>
      </c>
      <c r="B28" s="5" t="s">
        <v>190</v>
      </c>
      <c r="C28" s="5" t="s">
        <v>185</v>
      </c>
      <c r="D28" s="5" t="s">
        <v>191</v>
      </c>
      <c r="E28" s="5" t="s">
        <v>80</v>
      </c>
      <c r="F28" s="5" t="s">
        <v>67</v>
      </c>
      <c r="G28" s="5">
        <v>3</v>
      </c>
      <c r="H28" s="5" t="s">
        <v>25</v>
      </c>
      <c r="I28" s="5" t="s">
        <v>184</v>
      </c>
      <c r="J28" s="5" t="s">
        <v>193</v>
      </c>
    </row>
    <row r="29" spans="1:10" ht="16" x14ac:dyDescent="0.2">
      <c r="A29" s="5" t="s">
        <v>28</v>
      </c>
      <c r="B29" s="5" t="s">
        <v>195</v>
      </c>
      <c r="C29" s="5" t="s">
        <v>196</v>
      </c>
      <c r="D29" s="5" t="s">
        <v>197</v>
      </c>
      <c r="E29" s="5" t="s">
        <v>64</v>
      </c>
      <c r="F29" s="5" t="s">
        <v>67</v>
      </c>
      <c r="G29" s="5">
        <v>3</v>
      </c>
      <c r="H29" s="5" t="s">
        <v>25</v>
      </c>
      <c r="I29" s="5" t="s">
        <v>184</v>
      </c>
      <c r="J29" s="5" t="s">
        <v>199</v>
      </c>
    </row>
    <row r="30" spans="1:10" ht="32" x14ac:dyDescent="0.2">
      <c r="A30" s="5" t="s">
        <v>28</v>
      </c>
      <c r="B30" s="5" t="s">
        <v>200</v>
      </c>
      <c r="C30" s="5" t="s">
        <v>196</v>
      </c>
      <c r="D30" s="5" t="s">
        <v>201</v>
      </c>
      <c r="E30" s="5" t="s">
        <v>64</v>
      </c>
      <c r="F30" s="5" t="s">
        <v>52</v>
      </c>
      <c r="G30" s="5">
        <v>8</v>
      </c>
      <c r="H30" s="5" t="s">
        <v>25</v>
      </c>
      <c r="I30" s="5" t="s">
        <v>204</v>
      </c>
      <c r="J30" s="5" t="s">
        <v>203</v>
      </c>
    </row>
    <row r="31" spans="1:10" ht="16" x14ac:dyDescent="0.2">
      <c r="A31" s="5" t="s">
        <v>28</v>
      </c>
      <c r="B31" s="5" t="s">
        <v>205</v>
      </c>
      <c r="C31" s="5" t="s">
        <v>196</v>
      </c>
      <c r="D31" s="5" t="s">
        <v>206</v>
      </c>
      <c r="E31" s="5" t="s">
        <v>64</v>
      </c>
      <c r="F31" s="5" t="s">
        <v>52</v>
      </c>
      <c r="G31" s="5">
        <v>8</v>
      </c>
      <c r="H31" s="5" t="s">
        <v>25</v>
      </c>
      <c r="I31" s="5" t="s">
        <v>200</v>
      </c>
      <c r="J31" s="5" t="s">
        <v>208</v>
      </c>
    </row>
    <row r="32" spans="1:10" ht="16" x14ac:dyDescent="0.2">
      <c r="A32" s="5" t="s">
        <v>28</v>
      </c>
      <c r="B32" s="5" t="s">
        <v>209</v>
      </c>
      <c r="C32" s="5" t="s">
        <v>196</v>
      </c>
      <c r="D32" s="5" t="s">
        <v>210</v>
      </c>
      <c r="E32" s="5" t="s">
        <v>64</v>
      </c>
      <c r="F32" s="5" t="s">
        <v>67</v>
      </c>
      <c r="G32" s="5">
        <v>5</v>
      </c>
      <c r="H32" s="5" t="s">
        <v>25</v>
      </c>
      <c r="I32" s="5" t="s">
        <v>205</v>
      </c>
      <c r="J32" s="5" t="s">
        <v>212</v>
      </c>
    </row>
    <row r="33" spans="1:10" ht="16" x14ac:dyDescent="0.2">
      <c r="A33" s="5" t="s">
        <v>28</v>
      </c>
      <c r="B33" s="5" t="s">
        <v>213</v>
      </c>
      <c r="C33" s="5" t="s">
        <v>196</v>
      </c>
      <c r="D33" s="5" t="s">
        <v>214</v>
      </c>
      <c r="E33" s="5" t="s">
        <v>64</v>
      </c>
      <c r="F33" s="5" t="s">
        <v>52</v>
      </c>
      <c r="G33" s="5">
        <v>8</v>
      </c>
      <c r="H33" s="5" t="s">
        <v>25</v>
      </c>
      <c r="I33" s="5" t="s">
        <v>217</v>
      </c>
      <c r="J33" s="5" t="s">
        <v>216</v>
      </c>
    </row>
    <row r="34" spans="1:10" ht="16" x14ac:dyDescent="0.2">
      <c r="A34" s="5" t="s">
        <v>28</v>
      </c>
      <c r="B34" s="5" t="s">
        <v>218</v>
      </c>
      <c r="C34" s="5" t="s">
        <v>219</v>
      </c>
      <c r="D34" s="5" t="s">
        <v>220</v>
      </c>
      <c r="E34" s="5" t="s">
        <v>59</v>
      </c>
      <c r="F34" s="5" t="s">
        <v>67</v>
      </c>
      <c r="G34" s="5">
        <v>5</v>
      </c>
      <c r="H34" s="5" t="s">
        <v>25</v>
      </c>
      <c r="I34" s="5" t="s">
        <v>223</v>
      </c>
      <c r="J34" s="5" t="s">
        <v>222</v>
      </c>
    </row>
    <row r="35" spans="1:10" ht="16" x14ac:dyDescent="0.2">
      <c r="A35" s="5" t="s">
        <v>28</v>
      </c>
      <c r="B35" s="5" t="s">
        <v>224</v>
      </c>
      <c r="C35" s="5" t="s">
        <v>219</v>
      </c>
      <c r="D35" s="5" t="s">
        <v>225</v>
      </c>
      <c r="E35" s="5" t="s">
        <v>59</v>
      </c>
      <c r="F35" s="5" t="s">
        <v>67</v>
      </c>
      <c r="G35" s="5">
        <v>8</v>
      </c>
      <c r="H35" s="5" t="s">
        <v>25</v>
      </c>
      <c r="I35" s="5" t="s">
        <v>228</v>
      </c>
      <c r="J35" s="5" t="s">
        <v>227</v>
      </c>
    </row>
    <row r="36" spans="1:10" ht="16" x14ac:dyDescent="0.2">
      <c r="A36" s="5" t="s">
        <v>28</v>
      </c>
      <c r="B36" s="5" t="s">
        <v>229</v>
      </c>
      <c r="C36" s="5" t="s">
        <v>219</v>
      </c>
      <c r="D36" s="5" t="s">
        <v>230</v>
      </c>
      <c r="E36" s="5" t="s">
        <v>59</v>
      </c>
      <c r="F36" s="5" t="s">
        <v>67</v>
      </c>
      <c r="G36" s="5">
        <v>5</v>
      </c>
      <c r="H36" s="5" t="s">
        <v>25</v>
      </c>
      <c r="I36" s="5" t="s">
        <v>233</v>
      </c>
      <c r="J36" s="5" t="s">
        <v>232</v>
      </c>
    </row>
    <row r="37" spans="1:10" ht="32" x14ac:dyDescent="0.2">
      <c r="A37" s="5" t="s">
        <v>30</v>
      </c>
      <c r="B37" s="5" t="s">
        <v>234</v>
      </c>
      <c r="C37" s="5" t="s">
        <v>235</v>
      </c>
      <c r="D37" s="5" t="s">
        <v>236</v>
      </c>
      <c r="E37" s="5" t="s">
        <v>80</v>
      </c>
      <c r="F37" s="5" t="s">
        <v>52</v>
      </c>
      <c r="G37" s="5">
        <v>5</v>
      </c>
      <c r="H37" s="5" t="s">
        <v>25</v>
      </c>
      <c r="I37" s="5" t="s">
        <v>117</v>
      </c>
      <c r="J37" s="5" t="s">
        <v>238</v>
      </c>
    </row>
    <row r="38" spans="1:10" ht="16" x14ac:dyDescent="0.2">
      <c r="A38" s="5" t="s">
        <v>30</v>
      </c>
      <c r="B38" s="5" t="s">
        <v>240</v>
      </c>
      <c r="C38" s="5" t="s">
        <v>241</v>
      </c>
      <c r="D38" s="5" t="s">
        <v>242</v>
      </c>
      <c r="E38" s="5" t="s">
        <v>64</v>
      </c>
      <c r="F38" s="5" t="s">
        <v>67</v>
      </c>
      <c r="G38" s="5">
        <v>8</v>
      </c>
      <c r="H38" s="5" t="s">
        <v>25</v>
      </c>
      <c r="I38" s="5" t="s">
        <v>245</v>
      </c>
      <c r="J38" s="5" t="s">
        <v>244</v>
      </c>
    </row>
    <row r="39" spans="1:10" ht="16" x14ac:dyDescent="0.2">
      <c r="A39" s="5" t="s">
        <v>30</v>
      </c>
      <c r="B39" s="5" t="s">
        <v>246</v>
      </c>
      <c r="C39" s="5" t="s">
        <v>241</v>
      </c>
      <c r="D39" s="5" t="s">
        <v>247</v>
      </c>
      <c r="E39" s="5" t="s">
        <v>64</v>
      </c>
      <c r="F39" s="5" t="s">
        <v>67</v>
      </c>
      <c r="G39" s="5">
        <v>5</v>
      </c>
      <c r="H39" s="5" t="s">
        <v>25</v>
      </c>
      <c r="I39" s="5" t="s">
        <v>240</v>
      </c>
      <c r="J39" s="5" t="s">
        <v>249</v>
      </c>
    </row>
    <row r="40" spans="1:10" ht="16" x14ac:dyDescent="0.2">
      <c r="A40" s="5" t="s">
        <v>30</v>
      </c>
      <c r="B40" s="5" t="s">
        <v>250</v>
      </c>
      <c r="C40" s="5" t="s">
        <v>251</v>
      </c>
      <c r="D40" s="5" t="s">
        <v>252</v>
      </c>
      <c r="E40" s="5" t="s">
        <v>59</v>
      </c>
      <c r="F40" s="5" t="s">
        <v>67</v>
      </c>
      <c r="G40" s="5">
        <v>8</v>
      </c>
      <c r="H40" s="5" t="s">
        <v>25</v>
      </c>
      <c r="I40" s="5" t="s">
        <v>240</v>
      </c>
      <c r="J40" s="5" t="s">
        <v>254</v>
      </c>
    </row>
    <row r="41" spans="1:10" ht="16" x14ac:dyDescent="0.2">
      <c r="A41" s="5" t="s">
        <v>30</v>
      </c>
      <c r="B41" s="5" t="s">
        <v>255</v>
      </c>
      <c r="C41" s="5" t="s">
        <v>256</v>
      </c>
      <c r="D41" s="5" t="s">
        <v>257</v>
      </c>
      <c r="E41" s="5" t="s">
        <v>80</v>
      </c>
      <c r="F41" s="5" t="s">
        <v>52</v>
      </c>
      <c r="G41" s="5">
        <v>3</v>
      </c>
      <c r="H41" s="5" t="s">
        <v>25</v>
      </c>
      <c r="I41" s="5" t="s">
        <v>260</v>
      </c>
      <c r="J41" s="5" t="s">
        <v>259</v>
      </c>
    </row>
    <row r="42" spans="1:10" ht="16" x14ac:dyDescent="0.2">
      <c r="A42" s="5" t="s">
        <v>30</v>
      </c>
      <c r="B42" s="5" t="s">
        <v>262</v>
      </c>
      <c r="C42" s="5" t="s">
        <v>256</v>
      </c>
      <c r="D42" s="5" t="s">
        <v>263</v>
      </c>
      <c r="E42" s="5" t="s">
        <v>64</v>
      </c>
      <c r="F42" s="5" t="s">
        <v>67</v>
      </c>
      <c r="G42" s="5">
        <v>8</v>
      </c>
      <c r="H42" s="5" t="s">
        <v>25</v>
      </c>
      <c r="I42" s="5" t="s">
        <v>255</v>
      </c>
      <c r="J42" s="5" t="s">
        <v>265</v>
      </c>
    </row>
    <row r="43" spans="1:10" ht="16" x14ac:dyDescent="0.2">
      <c r="A43" s="5" t="s">
        <v>30</v>
      </c>
      <c r="B43" s="5" t="s">
        <v>266</v>
      </c>
      <c r="C43" s="5" t="s">
        <v>256</v>
      </c>
      <c r="D43" s="5" t="s">
        <v>267</v>
      </c>
      <c r="E43" s="5" t="s">
        <v>59</v>
      </c>
      <c r="F43" s="5" t="s">
        <v>67</v>
      </c>
      <c r="G43" s="5">
        <v>8</v>
      </c>
      <c r="H43" s="5" t="s">
        <v>25</v>
      </c>
      <c r="I43" s="5" t="s">
        <v>270</v>
      </c>
      <c r="J43" s="5" t="s">
        <v>269</v>
      </c>
    </row>
    <row r="44" spans="1:10" ht="16" x14ac:dyDescent="0.2">
      <c r="A44" s="5" t="s">
        <v>30</v>
      </c>
      <c r="B44" s="5" t="s">
        <v>271</v>
      </c>
      <c r="C44" s="5" t="s">
        <v>256</v>
      </c>
      <c r="D44" s="5" t="s">
        <v>272</v>
      </c>
      <c r="E44" s="5" t="s">
        <v>59</v>
      </c>
      <c r="F44" s="5" t="s">
        <v>52</v>
      </c>
      <c r="G44" s="5">
        <v>8</v>
      </c>
      <c r="H44" s="5" t="s">
        <v>25</v>
      </c>
      <c r="I44" s="5" t="s">
        <v>275</v>
      </c>
      <c r="J44" s="5" t="s">
        <v>274</v>
      </c>
    </row>
    <row r="45" spans="1:10" ht="16" x14ac:dyDescent="0.2">
      <c r="A45" s="5" t="s">
        <v>31</v>
      </c>
      <c r="B45" s="5" t="s">
        <v>276</v>
      </c>
      <c r="C45" s="5" t="s">
        <v>277</v>
      </c>
      <c r="D45" s="5" t="s">
        <v>278</v>
      </c>
      <c r="E45" s="5" t="s">
        <v>80</v>
      </c>
      <c r="F45" s="5" t="s">
        <v>67</v>
      </c>
      <c r="G45" s="5">
        <v>3</v>
      </c>
      <c r="H45" s="5" t="s">
        <v>25</v>
      </c>
      <c r="I45" s="5" t="s">
        <v>117</v>
      </c>
      <c r="J45" s="5" t="s">
        <v>280</v>
      </c>
    </row>
    <row r="46" spans="1:10" ht="16" x14ac:dyDescent="0.2">
      <c r="A46" s="5" t="s">
        <v>31</v>
      </c>
      <c r="B46" s="5" t="s">
        <v>282</v>
      </c>
      <c r="C46" s="5" t="s">
        <v>277</v>
      </c>
      <c r="D46" s="5" t="s">
        <v>283</v>
      </c>
      <c r="E46" s="5" t="s">
        <v>64</v>
      </c>
      <c r="F46" s="5" t="s">
        <v>67</v>
      </c>
      <c r="G46" s="5">
        <v>5</v>
      </c>
      <c r="H46" s="5" t="s">
        <v>25</v>
      </c>
      <c r="I46" s="5" t="s">
        <v>286</v>
      </c>
      <c r="J46" s="5" t="s">
        <v>285</v>
      </c>
    </row>
    <row r="47" spans="1:10" ht="16" x14ac:dyDescent="0.2">
      <c r="A47" s="5" t="s">
        <v>31</v>
      </c>
      <c r="B47" s="5" t="s">
        <v>287</v>
      </c>
      <c r="C47" s="5" t="s">
        <v>277</v>
      </c>
      <c r="D47" s="5" t="s">
        <v>288</v>
      </c>
      <c r="E47" s="5" t="s">
        <v>64</v>
      </c>
      <c r="F47" s="5" t="s">
        <v>168</v>
      </c>
      <c r="G47" s="5">
        <v>3</v>
      </c>
      <c r="H47" s="5" t="s">
        <v>25</v>
      </c>
      <c r="I47" s="5" t="s">
        <v>282</v>
      </c>
      <c r="J47" s="5" t="s">
        <v>290</v>
      </c>
    </row>
    <row r="48" spans="1:10" ht="16" x14ac:dyDescent="0.2">
      <c r="A48" s="5" t="s">
        <v>31</v>
      </c>
      <c r="B48" s="5" t="s">
        <v>291</v>
      </c>
      <c r="C48" s="5" t="s">
        <v>277</v>
      </c>
      <c r="D48" s="5" t="s">
        <v>292</v>
      </c>
      <c r="E48" s="5" t="s">
        <v>59</v>
      </c>
      <c r="F48" s="5" t="s">
        <v>168</v>
      </c>
      <c r="G48" s="5">
        <v>5</v>
      </c>
      <c r="H48" s="5" t="s">
        <v>25</v>
      </c>
      <c r="I48" s="5" t="s">
        <v>295</v>
      </c>
      <c r="J48" s="5" t="s">
        <v>294</v>
      </c>
    </row>
    <row r="49" spans="1:10" ht="16" x14ac:dyDescent="0.2">
      <c r="A49" s="5" t="s">
        <v>31</v>
      </c>
      <c r="B49" s="5" t="s">
        <v>296</v>
      </c>
      <c r="C49" s="5" t="s">
        <v>297</v>
      </c>
      <c r="D49" s="5" t="s">
        <v>298</v>
      </c>
      <c r="E49" s="5" t="s">
        <v>59</v>
      </c>
      <c r="F49" s="5" t="s">
        <v>67</v>
      </c>
      <c r="G49" s="5">
        <v>5</v>
      </c>
      <c r="H49" s="5" t="s">
        <v>25</v>
      </c>
      <c r="I49" s="5" t="s">
        <v>301</v>
      </c>
      <c r="J49" s="5" t="s">
        <v>300</v>
      </c>
    </row>
    <row r="50" spans="1:10" ht="16" x14ac:dyDescent="0.2">
      <c r="A50" s="5" t="s">
        <v>31</v>
      </c>
      <c r="B50" s="5" t="s">
        <v>302</v>
      </c>
      <c r="C50" s="5" t="s">
        <v>297</v>
      </c>
      <c r="D50" s="5" t="s">
        <v>303</v>
      </c>
      <c r="E50" s="5" t="s">
        <v>59</v>
      </c>
      <c r="F50" s="5" t="s">
        <v>67</v>
      </c>
      <c r="G50" s="5">
        <v>5</v>
      </c>
      <c r="H50" s="5" t="s">
        <v>25</v>
      </c>
      <c r="I50" s="5" t="s">
        <v>271</v>
      </c>
      <c r="J50" s="5" t="s">
        <v>305</v>
      </c>
    </row>
    <row r="51" spans="1:10" ht="16" x14ac:dyDescent="0.2">
      <c r="A51" s="5" t="s">
        <v>31</v>
      </c>
      <c r="B51" s="5" t="s">
        <v>306</v>
      </c>
      <c r="C51" s="5" t="s">
        <v>307</v>
      </c>
      <c r="D51" s="5" t="s">
        <v>308</v>
      </c>
      <c r="E51" s="5" t="s">
        <v>64</v>
      </c>
      <c r="F51" s="5" t="s">
        <v>168</v>
      </c>
      <c r="G51" s="5">
        <v>5</v>
      </c>
      <c r="H51" s="5" t="s">
        <v>25</v>
      </c>
      <c r="I51" s="5" t="s">
        <v>205</v>
      </c>
      <c r="J51" s="5" t="s">
        <v>310</v>
      </c>
    </row>
    <row r="52" spans="1:10" ht="16" x14ac:dyDescent="0.2">
      <c r="A52" s="5" t="s">
        <v>31</v>
      </c>
      <c r="B52" s="5" t="s">
        <v>311</v>
      </c>
      <c r="C52" s="5" t="s">
        <v>307</v>
      </c>
      <c r="D52" s="5" t="s">
        <v>312</v>
      </c>
      <c r="E52" s="5" t="s">
        <v>59</v>
      </c>
      <c r="F52" s="5" t="s">
        <v>168</v>
      </c>
      <c r="G52" s="5">
        <v>3</v>
      </c>
      <c r="H52" s="5" t="s">
        <v>25</v>
      </c>
      <c r="I52" s="5" t="s">
        <v>315</v>
      </c>
      <c r="J52" s="5" t="s">
        <v>314</v>
      </c>
    </row>
    <row r="53" spans="1:10" ht="16" x14ac:dyDescent="0.2">
      <c r="A53" s="5" t="s">
        <v>32</v>
      </c>
      <c r="B53" s="5" t="s">
        <v>316</v>
      </c>
      <c r="C53" s="5" t="s">
        <v>317</v>
      </c>
      <c r="D53" s="5" t="s">
        <v>318</v>
      </c>
      <c r="E53" s="5" t="s">
        <v>80</v>
      </c>
      <c r="F53" s="5" t="s">
        <v>67</v>
      </c>
      <c r="G53" s="5">
        <v>5</v>
      </c>
      <c r="H53" s="5" t="s">
        <v>25</v>
      </c>
      <c r="I53" s="5" t="s">
        <v>321</v>
      </c>
      <c r="J53" s="5" t="s">
        <v>320</v>
      </c>
    </row>
    <row r="54" spans="1:10" ht="16" x14ac:dyDescent="0.2">
      <c r="A54" s="5" t="s">
        <v>32</v>
      </c>
      <c r="B54" s="5" t="s">
        <v>323</v>
      </c>
      <c r="C54" s="5" t="s">
        <v>317</v>
      </c>
      <c r="D54" s="5" t="s">
        <v>324</v>
      </c>
      <c r="E54" s="5" t="s">
        <v>80</v>
      </c>
      <c r="F54" s="5" t="s">
        <v>168</v>
      </c>
      <c r="G54" s="5">
        <v>5</v>
      </c>
      <c r="H54" s="5" t="s">
        <v>25</v>
      </c>
      <c r="I54" s="5" t="s">
        <v>316</v>
      </c>
      <c r="J54" s="5" t="s">
        <v>326</v>
      </c>
    </row>
    <row r="55" spans="1:10" ht="32" x14ac:dyDescent="0.2">
      <c r="A55" s="5" t="s">
        <v>32</v>
      </c>
      <c r="B55" s="5" t="s">
        <v>328</v>
      </c>
      <c r="C55" s="5" t="s">
        <v>122</v>
      </c>
      <c r="D55" s="5" t="s">
        <v>329</v>
      </c>
      <c r="E55" s="5" t="s">
        <v>122</v>
      </c>
      <c r="F55" s="5" t="s">
        <v>52</v>
      </c>
      <c r="G55" s="5">
        <v>8</v>
      </c>
      <c r="H55" s="5" t="s">
        <v>25</v>
      </c>
      <c r="I55" s="5" t="s">
        <v>332</v>
      </c>
      <c r="J55" s="5" t="s">
        <v>331</v>
      </c>
    </row>
    <row r="56" spans="1:10" ht="16" x14ac:dyDescent="0.2">
      <c r="A56" s="5" t="s">
        <v>32</v>
      </c>
      <c r="B56" s="5" t="s">
        <v>334</v>
      </c>
      <c r="C56" s="5" t="s">
        <v>335</v>
      </c>
      <c r="D56" s="5" t="s">
        <v>336</v>
      </c>
      <c r="E56" s="5" t="s">
        <v>339</v>
      </c>
      <c r="F56" s="5" t="s">
        <v>67</v>
      </c>
      <c r="G56" s="5">
        <v>8</v>
      </c>
      <c r="H56" s="5" t="s">
        <v>25</v>
      </c>
      <c r="I56" s="5" t="s">
        <v>340</v>
      </c>
      <c r="J56" s="5" t="s">
        <v>338</v>
      </c>
    </row>
    <row r="57" spans="1:10" ht="16" x14ac:dyDescent="0.2">
      <c r="A57" s="5" t="s">
        <v>32</v>
      </c>
      <c r="B57" s="5" t="s">
        <v>341</v>
      </c>
      <c r="C57" s="5" t="s">
        <v>335</v>
      </c>
      <c r="D57" s="5" t="s">
        <v>342</v>
      </c>
      <c r="E57" s="5" t="s">
        <v>339</v>
      </c>
      <c r="F57" s="5" t="s">
        <v>67</v>
      </c>
      <c r="G57" s="5">
        <v>8</v>
      </c>
      <c r="H57" s="5" t="s">
        <v>25</v>
      </c>
      <c r="I57" s="5" t="s">
        <v>345</v>
      </c>
      <c r="J57" s="5" t="s">
        <v>344</v>
      </c>
    </row>
    <row r="58" spans="1:10" ht="16" x14ac:dyDescent="0.2">
      <c r="A58" s="5" t="s">
        <v>32</v>
      </c>
      <c r="B58" s="5" t="s">
        <v>346</v>
      </c>
      <c r="C58" s="5" t="s">
        <v>335</v>
      </c>
      <c r="D58" s="5" t="s">
        <v>347</v>
      </c>
      <c r="E58" s="5" t="s">
        <v>339</v>
      </c>
      <c r="F58" s="5" t="s">
        <v>168</v>
      </c>
      <c r="G58" s="5">
        <v>5</v>
      </c>
      <c r="H58" s="5" t="s">
        <v>25</v>
      </c>
      <c r="I58" s="5" t="s">
        <v>350</v>
      </c>
      <c r="J58" s="5" t="s">
        <v>349</v>
      </c>
    </row>
    <row r="59" spans="1:10" ht="16" x14ac:dyDescent="0.2">
      <c r="A59" s="5" t="s">
        <v>32</v>
      </c>
      <c r="B59" s="5" t="s">
        <v>351</v>
      </c>
      <c r="C59" s="5" t="s">
        <v>335</v>
      </c>
      <c r="D59" s="5" t="s">
        <v>352</v>
      </c>
      <c r="E59" s="5" t="s">
        <v>339</v>
      </c>
      <c r="F59" s="5" t="s">
        <v>67</v>
      </c>
      <c r="G59" s="5">
        <v>8</v>
      </c>
      <c r="H59" s="5" t="s">
        <v>25</v>
      </c>
      <c r="I59" s="5" t="s">
        <v>355</v>
      </c>
      <c r="J59" s="5" t="s">
        <v>354</v>
      </c>
    </row>
    <row r="60" spans="1:10" ht="16" x14ac:dyDescent="0.2">
      <c r="A60" s="5" t="s">
        <v>33</v>
      </c>
      <c r="B60" s="5" t="s">
        <v>357</v>
      </c>
      <c r="C60" s="5" t="s">
        <v>358</v>
      </c>
      <c r="D60" s="5" t="s">
        <v>359</v>
      </c>
      <c r="E60" s="5" t="s">
        <v>55</v>
      </c>
      <c r="F60" s="5" t="s">
        <v>67</v>
      </c>
      <c r="G60" s="5">
        <v>5</v>
      </c>
      <c r="H60" s="5" t="s">
        <v>25</v>
      </c>
      <c r="I60" s="5" t="s">
        <v>362</v>
      </c>
      <c r="J60" s="5" t="s">
        <v>361</v>
      </c>
    </row>
    <row r="61" spans="1:10" ht="16" x14ac:dyDescent="0.2">
      <c r="A61" s="5" t="s">
        <v>33</v>
      </c>
      <c r="B61" s="5" t="s">
        <v>364</v>
      </c>
      <c r="C61" s="5" t="s">
        <v>358</v>
      </c>
      <c r="D61" s="5" t="s">
        <v>365</v>
      </c>
      <c r="E61" s="5" t="s">
        <v>55</v>
      </c>
      <c r="F61" s="5" t="s">
        <v>67</v>
      </c>
      <c r="G61" s="5">
        <v>3</v>
      </c>
      <c r="H61" s="5" t="s">
        <v>25</v>
      </c>
      <c r="I61" s="5" t="s">
        <v>357</v>
      </c>
      <c r="J61" s="5" t="s">
        <v>367</v>
      </c>
    </row>
    <row r="62" spans="1:10" ht="16" x14ac:dyDescent="0.2">
      <c r="A62" s="5" t="s">
        <v>33</v>
      </c>
      <c r="B62" s="5" t="s">
        <v>369</v>
      </c>
      <c r="C62" s="5" t="s">
        <v>358</v>
      </c>
      <c r="D62" s="5" t="s">
        <v>370</v>
      </c>
      <c r="E62" s="5" t="s">
        <v>55</v>
      </c>
      <c r="F62" s="5" t="s">
        <v>67</v>
      </c>
      <c r="G62" s="5">
        <v>5</v>
      </c>
      <c r="H62" s="5" t="s">
        <v>25</v>
      </c>
      <c r="I62" s="5" t="s">
        <v>357</v>
      </c>
      <c r="J62" s="5" t="s">
        <v>372</v>
      </c>
    </row>
    <row r="63" spans="1:10" ht="16" x14ac:dyDescent="0.2">
      <c r="A63" s="5" t="s">
        <v>33</v>
      </c>
      <c r="B63" s="5" t="s">
        <v>373</v>
      </c>
      <c r="C63" s="5" t="s">
        <v>358</v>
      </c>
      <c r="D63" s="5" t="s">
        <v>374</v>
      </c>
      <c r="E63" s="5" t="s">
        <v>55</v>
      </c>
      <c r="F63" s="5" t="s">
        <v>52</v>
      </c>
      <c r="G63" s="5">
        <v>5</v>
      </c>
      <c r="H63" s="5" t="s">
        <v>25</v>
      </c>
      <c r="I63" s="5" t="s">
        <v>377</v>
      </c>
      <c r="J63" s="5" t="s">
        <v>376</v>
      </c>
    </row>
    <row r="64" spans="1:10" ht="16" x14ac:dyDescent="0.2">
      <c r="A64" s="5" t="s">
        <v>33</v>
      </c>
      <c r="B64" s="5" t="s">
        <v>379</v>
      </c>
      <c r="C64" s="5" t="s">
        <v>358</v>
      </c>
      <c r="D64" s="5" t="s">
        <v>380</v>
      </c>
      <c r="E64" s="5" t="s">
        <v>55</v>
      </c>
      <c r="F64" s="5" t="s">
        <v>67</v>
      </c>
      <c r="G64" s="5">
        <v>3</v>
      </c>
      <c r="H64" s="5" t="s">
        <v>25</v>
      </c>
      <c r="I64" s="5" t="s">
        <v>383</v>
      </c>
      <c r="J64" s="5" t="s">
        <v>382</v>
      </c>
    </row>
    <row r="65" spans="1:10" ht="16" x14ac:dyDescent="0.2">
      <c r="A65" s="5" t="s">
        <v>33</v>
      </c>
      <c r="B65" s="5" t="s">
        <v>385</v>
      </c>
      <c r="C65" s="5" t="s">
        <v>386</v>
      </c>
      <c r="D65" s="5" t="s">
        <v>387</v>
      </c>
      <c r="E65" s="5" t="s">
        <v>390</v>
      </c>
      <c r="F65" s="5" t="s">
        <v>67</v>
      </c>
      <c r="G65" s="5">
        <v>3</v>
      </c>
      <c r="H65" s="5" t="s">
        <v>25</v>
      </c>
      <c r="I65" s="5" t="s">
        <v>391</v>
      </c>
      <c r="J65" s="5" t="s">
        <v>389</v>
      </c>
    </row>
    <row r="66" spans="1:10" ht="16" x14ac:dyDescent="0.2">
      <c r="A66" s="5" t="s">
        <v>33</v>
      </c>
      <c r="B66" s="5" t="s">
        <v>393</v>
      </c>
      <c r="C66" s="5" t="s">
        <v>386</v>
      </c>
      <c r="D66" s="5" t="s">
        <v>394</v>
      </c>
      <c r="E66" s="5" t="s">
        <v>390</v>
      </c>
      <c r="F66" s="5" t="s">
        <v>168</v>
      </c>
      <c r="G66" s="5">
        <v>3</v>
      </c>
      <c r="H66" s="5" t="s">
        <v>25</v>
      </c>
      <c r="I66" s="5" t="s">
        <v>385</v>
      </c>
      <c r="J66" s="5" t="s">
        <v>396</v>
      </c>
    </row>
    <row r="67" spans="1:10" ht="32" x14ac:dyDescent="0.2">
      <c r="A67" s="5" t="s">
        <v>34</v>
      </c>
      <c r="B67" s="5" t="s">
        <v>398</v>
      </c>
      <c r="C67" s="5" t="s">
        <v>399</v>
      </c>
      <c r="D67" s="5" t="s">
        <v>400</v>
      </c>
      <c r="E67" s="5" t="s">
        <v>390</v>
      </c>
      <c r="F67" s="5" t="s">
        <v>168</v>
      </c>
      <c r="G67" s="5">
        <v>3</v>
      </c>
      <c r="H67" s="5" t="s">
        <v>25</v>
      </c>
      <c r="I67" s="5" t="s">
        <v>385</v>
      </c>
      <c r="J67" s="5" t="s">
        <v>402</v>
      </c>
    </row>
    <row r="68" spans="1:10" ht="16" x14ac:dyDescent="0.2">
      <c r="A68" s="5" t="s">
        <v>34</v>
      </c>
      <c r="B68" s="5" t="s">
        <v>404</v>
      </c>
      <c r="C68" s="5" t="s">
        <v>399</v>
      </c>
      <c r="D68" s="5" t="s">
        <v>405</v>
      </c>
      <c r="E68" s="5" t="s">
        <v>80</v>
      </c>
      <c r="F68" s="5" t="s">
        <v>168</v>
      </c>
      <c r="G68" s="5">
        <v>5</v>
      </c>
      <c r="H68" s="5" t="s">
        <v>25</v>
      </c>
      <c r="I68" s="5" t="s">
        <v>398</v>
      </c>
      <c r="J68" s="5" t="s">
        <v>407</v>
      </c>
    </row>
    <row r="69" spans="1:10" ht="16" x14ac:dyDescent="0.2">
      <c r="A69" s="5" t="s">
        <v>34</v>
      </c>
      <c r="B69" s="5" t="s">
        <v>409</v>
      </c>
      <c r="C69" s="5" t="s">
        <v>399</v>
      </c>
      <c r="D69" s="5" t="s">
        <v>410</v>
      </c>
      <c r="E69" s="5" t="s">
        <v>59</v>
      </c>
      <c r="F69" s="5" t="s">
        <v>168</v>
      </c>
      <c r="G69" s="5">
        <v>5</v>
      </c>
      <c r="H69" s="5" t="s">
        <v>25</v>
      </c>
      <c r="I69" s="5" t="s">
        <v>413</v>
      </c>
      <c r="J69" s="5" t="s">
        <v>412</v>
      </c>
    </row>
    <row r="70" spans="1:10" ht="16" x14ac:dyDescent="0.2">
      <c r="A70" s="5" t="s">
        <v>34</v>
      </c>
      <c r="B70" s="5" t="s">
        <v>414</v>
      </c>
      <c r="C70" s="5" t="s">
        <v>415</v>
      </c>
      <c r="D70" s="5" t="s">
        <v>416</v>
      </c>
      <c r="E70" s="5" t="s">
        <v>182</v>
      </c>
      <c r="F70" s="5" t="s">
        <v>417</v>
      </c>
      <c r="G70" s="5">
        <v>8</v>
      </c>
      <c r="H70" s="5" t="s">
        <v>25</v>
      </c>
      <c r="I70" s="5" t="s">
        <v>420</v>
      </c>
      <c r="J70" s="5" t="s">
        <v>419</v>
      </c>
    </row>
    <row r="71" spans="1:10" ht="16" x14ac:dyDescent="0.2">
      <c r="A71" s="5" t="s">
        <v>34</v>
      </c>
      <c r="B71" s="5" t="s">
        <v>421</v>
      </c>
      <c r="C71" s="5" t="s">
        <v>415</v>
      </c>
      <c r="D71" s="5" t="s">
        <v>422</v>
      </c>
      <c r="E71" s="5" t="s">
        <v>182</v>
      </c>
      <c r="F71" s="5" t="s">
        <v>417</v>
      </c>
      <c r="G71" s="5">
        <v>5</v>
      </c>
      <c r="H71" s="5" t="s">
        <v>25</v>
      </c>
      <c r="I71" s="5" t="s">
        <v>425</v>
      </c>
      <c r="J71" s="5" t="s">
        <v>424</v>
      </c>
    </row>
    <row r="72" spans="1:10" ht="32" x14ac:dyDescent="0.2">
      <c r="A72" s="5" t="s">
        <v>908</v>
      </c>
      <c r="B72" s="5" t="s">
        <v>903</v>
      </c>
      <c r="C72" s="5" t="s">
        <v>904</v>
      </c>
      <c r="D72" s="5" t="s">
        <v>905</v>
      </c>
      <c r="E72" s="5" t="s">
        <v>55</v>
      </c>
      <c r="F72" s="5" t="s">
        <v>67</v>
      </c>
      <c r="G72" s="5">
        <v>3</v>
      </c>
      <c r="H72" s="5" t="s">
        <v>14</v>
      </c>
      <c r="I72" s="5" t="s">
        <v>909</v>
      </c>
      <c r="J72" s="5" t="s">
        <v>912</v>
      </c>
    </row>
    <row r="73" spans="1:10" ht="32" x14ac:dyDescent="0.2">
      <c r="A73" s="5" t="s">
        <v>908</v>
      </c>
      <c r="B73" s="5" t="s">
        <v>963</v>
      </c>
      <c r="C73" s="5" t="s">
        <v>904</v>
      </c>
      <c r="D73" s="5" t="s">
        <v>964</v>
      </c>
      <c r="E73" s="5" t="s">
        <v>55</v>
      </c>
      <c r="F73" s="5" t="s">
        <v>67</v>
      </c>
      <c r="G73" s="5">
        <v>3</v>
      </c>
      <c r="H73" s="5" t="s">
        <v>13</v>
      </c>
      <c r="I73" s="5" t="s">
        <v>903</v>
      </c>
      <c r="J73" s="5" t="s">
        <v>969</v>
      </c>
    </row>
    <row r="74" spans="1:10" ht="48" x14ac:dyDescent="0.2">
      <c r="A74" s="5" t="s">
        <v>908</v>
      </c>
      <c r="B74" s="5" t="s">
        <v>1002</v>
      </c>
      <c r="C74" s="5" t="s">
        <v>904</v>
      </c>
      <c r="D74" s="5" t="s">
        <v>1003</v>
      </c>
      <c r="E74" s="5" t="s">
        <v>55</v>
      </c>
      <c r="F74" s="5" t="s">
        <v>67</v>
      </c>
      <c r="G74" s="5">
        <v>5</v>
      </c>
      <c r="H74" s="5" t="s">
        <v>13</v>
      </c>
      <c r="I74" s="5" t="s">
        <v>1006</v>
      </c>
      <c r="J74" s="5" t="s">
        <v>1009</v>
      </c>
    </row>
  </sheetData>
  <autoFilter ref="A1:J74" xr:uid="{00000000-0009-0000-0000-000003000000}"/>
  <conditionalFormatting sqref="H2:H74">
    <cfRule type="expression" dxfId="24" priority="1">
      <formula>$H2="Done"</formula>
    </cfRule>
    <cfRule type="expression" dxfId="23" priority="2">
      <formula>$H2="In Progress"</formula>
    </cfRule>
    <cfRule type="expression" dxfId="22" priority="3">
      <formula>$H2="Blocked"</formula>
    </cfRule>
    <cfRule type="expression" dxfId="21" priority="4">
      <formula>$H2="Review"</formula>
    </cfRule>
    <cfRule type="expression" dxfId="20" priority="5">
      <formula>$H2="Todo"</formula>
    </cfRule>
  </conditionalFormatting>
  <dataValidations count="1">
    <dataValidation type="list" allowBlank="1" sqref="H2:H74" xr:uid="{00000000-0002-0000-0300-000000000000}">
      <formula1>"Todo,In Progress,Blocked,Review,Done"</formula1>
    </dataValidation>
  </dataValidations>
  <pageMargins left="0.75" right="0.75" top="1" bottom="1" header="0.5" footer="0.5"/>
  <pageSetup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X71"/>
  <sheetViews>
    <sheetView showGridLines="0" workbookViewId="0">
      <pane ySplit="1" topLeftCell="A2" activePane="bottomLeft" state="frozen"/>
      <selection pane="bottomLeft"/>
    </sheetView>
  </sheetViews>
  <sheetFormatPr baseColWidth="10" defaultColWidth="8.83203125" defaultRowHeight="15" x14ac:dyDescent="0.2"/>
  <cols>
    <col min="1" max="1" width="12" customWidth="1"/>
    <col min="2" max="2" width="34" customWidth="1"/>
    <col min="3" max="3" width="12" customWidth="1"/>
    <col min="4" max="5" width="14" customWidth="1"/>
    <col min="6" max="6" width="10" customWidth="1"/>
    <col min="7" max="7" width="14" customWidth="1"/>
    <col min="8" max="8" width="22" customWidth="1"/>
    <col min="9" max="50" width="5" customWidth="1"/>
  </cols>
  <sheetData>
    <row r="1" spans="1:50" ht="32" x14ac:dyDescent="0.2">
      <c r="A1" s="4" t="s">
        <v>35</v>
      </c>
      <c r="B1" s="4" t="s">
        <v>37</v>
      </c>
      <c r="C1" s="4" t="s">
        <v>18</v>
      </c>
      <c r="D1" s="4" t="s">
        <v>427</v>
      </c>
      <c r="E1" s="4" t="s">
        <v>428</v>
      </c>
      <c r="F1" s="4" t="s">
        <v>429</v>
      </c>
      <c r="G1" s="4" t="s">
        <v>22</v>
      </c>
      <c r="H1" s="4" t="s">
        <v>46</v>
      </c>
      <c r="I1" s="4" t="s">
        <v>430</v>
      </c>
      <c r="J1" s="4" t="s">
        <v>431</v>
      </c>
      <c r="K1" s="4" t="s">
        <v>432</v>
      </c>
      <c r="L1" s="4" t="s">
        <v>433</v>
      </c>
      <c r="M1" s="4" t="s">
        <v>434</v>
      </c>
      <c r="N1" s="4" t="s">
        <v>435</v>
      </c>
      <c r="O1" s="4" t="s">
        <v>436</v>
      </c>
      <c r="P1" s="4" t="s">
        <v>437</v>
      </c>
      <c r="Q1" s="4" t="s">
        <v>438</v>
      </c>
      <c r="R1" s="4" t="s">
        <v>439</v>
      </c>
      <c r="S1" s="4" t="s">
        <v>440</v>
      </c>
      <c r="T1" s="4" t="s">
        <v>441</v>
      </c>
      <c r="U1" s="4" t="s">
        <v>442</v>
      </c>
      <c r="V1" s="4" t="s">
        <v>443</v>
      </c>
      <c r="W1" s="4" t="s">
        <v>444</v>
      </c>
      <c r="X1" s="4" t="s">
        <v>445</v>
      </c>
      <c r="Y1" s="4" t="s">
        <v>446</v>
      </c>
      <c r="Z1" s="4" t="s">
        <v>447</v>
      </c>
      <c r="AA1" s="4" t="s">
        <v>448</v>
      </c>
      <c r="AB1" s="4" t="s">
        <v>449</v>
      </c>
      <c r="AC1" s="4" t="s">
        <v>450</v>
      </c>
      <c r="AD1" s="4" t="s">
        <v>451</v>
      </c>
      <c r="AE1" s="4" t="s">
        <v>452</v>
      </c>
      <c r="AF1" s="4" t="s">
        <v>453</v>
      </c>
      <c r="AG1" s="4" t="s">
        <v>454</v>
      </c>
      <c r="AH1" s="4" t="s">
        <v>455</v>
      </c>
      <c r="AI1" s="4" t="s">
        <v>456</v>
      </c>
      <c r="AJ1" s="4" t="s">
        <v>457</v>
      </c>
      <c r="AK1" s="4" t="s">
        <v>458</v>
      </c>
      <c r="AL1" s="4" t="s">
        <v>459</v>
      </c>
      <c r="AM1" s="4" t="s">
        <v>460</v>
      </c>
      <c r="AN1" s="4" t="s">
        <v>461</v>
      </c>
      <c r="AO1" s="4" t="s">
        <v>462</v>
      </c>
      <c r="AP1" s="4" t="s">
        <v>463</v>
      </c>
      <c r="AQ1" s="4" t="s">
        <v>464</v>
      </c>
      <c r="AR1" s="4" t="s">
        <v>465</v>
      </c>
      <c r="AS1" s="4" t="s">
        <v>466</v>
      </c>
      <c r="AT1" s="4" t="s">
        <v>467</v>
      </c>
      <c r="AU1" s="4" t="s">
        <v>468</v>
      </c>
      <c r="AV1" s="4" t="s">
        <v>469</v>
      </c>
      <c r="AW1" s="4" t="s">
        <v>470</v>
      </c>
      <c r="AX1" s="4" t="s">
        <v>471</v>
      </c>
    </row>
    <row r="2" spans="1:50" ht="16" x14ac:dyDescent="0.2">
      <c r="A2" s="5" t="s">
        <v>49</v>
      </c>
      <c r="B2" s="5" t="s">
        <v>51</v>
      </c>
      <c r="C2" s="5" t="s">
        <v>24</v>
      </c>
      <c r="D2" s="7">
        <v>46153</v>
      </c>
      <c r="E2" s="7">
        <v>46153</v>
      </c>
      <c r="F2" s="5">
        <v>1</v>
      </c>
      <c r="G2" s="5" t="s">
        <v>25</v>
      </c>
      <c r="H2" s="5"/>
      <c r="I2" s="8" t="s">
        <v>472</v>
      </c>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row>
    <row r="3" spans="1:50" ht="16" x14ac:dyDescent="0.2">
      <c r="A3" s="5" t="s">
        <v>57</v>
      </c>
      <c r="B3" s="5" t="s">
        <v>58</v>
      </c>
      <c r="C3" s="5" t="s">
        <v>24</v>
      </c>
      <c r="D3" s="7">
        <v>46153</v>
      </c>
      <c r="E3" s="7">
        <v>46154</v>
      </c>
      <c r="F3" s="5">
        <v>2</v>
      </c>
      <c r="G3" s="5" t="s">
        <v>25</v>
      </c>
      <c r="H3" s="5" t="s">
        <v>49</v>
      </c>
      <c r="I3" s="8" t="s">
        <v>472</v>
      </c>
      <c r="J3" s="8" t="s">
        <v>472</v>
      </c>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row>
    <row r="4" spans="1:50" ht="16" x14ac:dyDescent="0.2">
      <c r="A4" s="5" t="s">
        <v>60</v>
      </c>
      <c r="B4" s="5" t="s">
        <v>61</v>
      </c>
      <c r="C4" s="5" t="s">
        <v>24</v>
      </c>
      <c r="D4" s="7">
        <v>46153</v>
      </c>
      <c r="E4" s="7">
        <v>46154</v>
      </c>
      <c r="F4" s="5">
        <v>2</v>
      </c>
      <c r="G4" s="5" t="s">
        <v>25</v>
      </c>
      <c r="H4" s="5" t="s">
        <v>49</v>
      </c>
      <c r="I4" s="8" t="s">
        <v>472</v>
      </c>
      <c r="J4" s="8" t="s">
        <v>472</v>
      </c>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row>
    <row r="5" spans="1:50" ht="16" x14ac:dyDescent="0.2">
      <c r="A5" s="5" t="s">
        <v>65</v>
      </c>
      <c r="B5" s="5" t="s">
        <v>66</v>
      </c>
      <c r="C5" s="5" t="s">
        <v>24</v>
      </c>
      <c r="D5" s="7">
        <v>46154</v>
      </c>
      <c r="E5" s="7">
        <v>46154</v>
      </c>
      <c r="F5" s="5">
        <v>1</v>
      </c>
      <c r="G5" s="5" t="s">
        <v>25</v>
      </c>
      <c r="H5" s="5" t="s">
        <v>70</v>
      </c>
      <c r="I5" s="5"/>
      <c r="J5" s="8" t="s">
        <v>472</v>
      </c>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row>
    <row r="6" spans="1:50" ht="16" x14ac:dyDescent="0.2">
      <c r="A6" s="5" t="s">
        <v>71</v>
      </c>
      <c r="B6" s="5" t="s">
        <v>72</v>
      </c>
      <c r="C6" s="5" t="s">
        <v>24</v>
      </c>
      <c r="D6" s="7">
        <v>46154</v>
      </c>
      <c r="E6" s="7">
        <v>46154</v>
      </c>
      <c r="F6" s="5">
        <v>1</v>
      </c>
      <c r="G6" s="5" t="s">
        <v>25</v>
      </c>
      <c r="H6" s="5" t="s">
        <v>70</v>
      </c>
      <c r="I6" s="5"/>
      <c r="J6" s="8" t="s">
        <v>472</v>
      </c>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row>
    <row r="7" spans="1:50" ht="16" x14ac:dyDescent="0.2">
      <c r="A7" s="5" t="s">
        <v>75</v>
      </c>
      <c r="B7" s="5" t="s">
        <v>77</v>
      </c>
      <c r="C7" s="5" t="s">
        <v>24</v>
      </c>
      <c r="D7" s="7">
        <v>46155</v>
      </c>
      <c r="E7" s="7">
        <v>46155</v>
      </c>
      <c r="F7" s="5">
        <v>1</v>
      </c>
      <c r="G7" s="5" t="s">
        <v>25</v>
      </c>
      <c r="H7" s="5" t="s">
        <v>65</v>
      </c>
      <c r="I7" s="5"/>
      <c r="J7" s="5"/>
      <c r="K7" s="8" t="s">
        <v>472</v>
      </c>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row>
    <row r="8" spans="1:50" ht="16" x14ac:dyDescent="0.2">
      <c r="A8" s="5" t="s">
        <v>82</v>
      </c>
      <c r="B8" s="5" t="s">
        <v>83</v>
      </c>
      <c r="C8" s="5" t="s">
        <v>24</v>
      </c>
      <c r="D8" s="7">
        <v>46155</v>
      </c>
      <c r="E8" s="7">
        <v>46156</v>
      </c>
      <c r="F8" s="5">
        <v>2</v>
      </c>
      <c r="G8" s="5" t="s">
        <v>25</v>
      </c>
      <c r="H8" s="5" t="s">
        <v>75</v>
      </c>
      <c r="I8" s="5"/>
      <c r="J8" s="5"/>
      <c r="K8" s="8" t="s">
        <v>472</v>
      </c>
      <c r="L8" s="8" t="s">
        <v>472</v>
      </c>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row>
    <row r="9" spans="1:50" ht="16" x14ac:dyDescent="0.2">
      <c r="A9" s="5" t="s">
        <v>87</v>
      </c>
      <c r="B9" s="5" t="s">
        <v>89</v>
      </c>
      <c r="C9" s="5" t="s">
        <v>24</v>
      </c>
      <c r="D9" s="7">
        <v>46156</v>
      </c>
      <c r="E9" s="7">
        <v>46156</v>
      </c>
      <c r="F9" s="5">
        <v>1</v>
      </c>
      <c r="G9" s="5" t="s">
        <v>25</v>
      </c>
      <c r="H9" s="5" t="s">
        <v>60</v>
      </c>
      <c r="I9" s="5"/>
      <c r="J9" s="5"/>
      <c r="K9" s="5"/>
      <c r="L9" s="8" t="s">
        <v>472</v>
      </c>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row>
    <row r="10" spans="1:50" ht="16" x14ac:dyDescent="0.2">
      <c r="A10" s="5" t="s">
        <v>92</v>
      </c>
      <c r="B10" s="5" t="s">
        <v>93</v>
      </c>
      <c r="C10" s="5" t="s">
        <v>24</v>
      </c>
      <c r="D10" s="7">
        <v>46156</v>
      </c>
      <c r="E10" s="7">
        <v>46157</v>
      </c>
      <c r="F10" s="5">
        <v>2</v>
      </c>
      <c r="G10" s="5" t="s">
        <v>25</v>
      </c>
      <c r="H10" s="5" t="s">
        <v>57</v>
      </c>
      <c r="I10" s="5"/>
      <c r="J10" s="5"/>
      <c r="K10" s="5"/>
      <c r="L10" s="8" t="s">
        <v>472</v>
      </c>
      <c r="M10" s="8" t="s">
        <v>472</v>
      </c>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row>
    <row r="11" spans="1:50" ht="16" x14ac:dyDescent="0.2">
      <c r="A11" s="5" t="s">
        <v>96</v>
      </c>
      <c r="B11" s="5" t="s">
        <v>98</v>
      </c>
      <c r="C11" s="5" t="s">
        <v>26</v>
      </c>
      <c r="D11" s="7">
        <v>46158</v>
      </c>
      <c r="E11" s="7">
        <v>46158</v>
      </c>
      <c r="F11" s="5">
        <v>1</v>
      </c>
      <c r="G11" s="5" t="s">
        <v>25</v>
      </c>
      <c r="H11" s="5" t="s">
        <v>82</v>
      </c>
      <c r="I11" s="5"/>
      <c r="J11" s="5"/>
      <c r="K11" s="5"/>
      <c r="L11" s="5"/>
      <c r="M11" s="5"/>
      <c r="N11" s="8" t="s">
        <v>472</v>
      </c>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row>
    <row r="12" spans="1:50" ht="16" x14ac:dyDescent="0.2">
      <c r="A12" s="5" t="s">
        <v>102</v>
      </c>
      <c r="B12" s="5" t="s">
        <v>103</v>
      </c>
      <c r="C12" s="5" t="s">
        <v>26</v>
      </c>
      <c r="D12" s="7">
        <v>46158</v>
      </c>
      <c r="E12" s="7">
        <v>46158</v>
      </c>
      <c r="F12" s="5">
        <v>1</v>
      </c>
      <c r="G12" s="5" t="s">
        <v>25</v>
      </c>
      <c r="H12" s="5" t="s">
        <v>96</v>
      </c>
      <c r="I12" s="5"/>
      <c r="J12" s="5"/>
      <c r="K12" s="5"/>
      <c r="L12" s="5"/>
      <c r="M12" s="5"/>
      <c r="N12" s="8" t="s">
        <v>472</v>
      </c>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row>
    <row r="13" spans="1:50" ht="16" x14ac:dyDescent="0.2">
      <c r="A13" s="5" t="s">
        <v>107</v>
      </c>
      <c r="B13" s="5" t="s">
        <v>108</v>
      </c>
      <c r="C13" s="5" t="s">
        <v>26</v>
      </c>
      <c r="D13" s="7">
        <v>46159</v>
      </c>
      <c r="E13" s="7">
        <v>46159</v>
      </c>
      <c r="F13" s="5">
        <v>1</v>
      </c>
      <c r="G13" s="5" t="s">
        <v>25</v>
      </c>
      <c r="H13" s="5" t="s">
        <v>96</v>
      </c>
      <c r="I13" s="5"/>
      <c r="J13" s="5"/>
      <c r="K13" s="5"/>
      <c r="L13" s="5"/>
      <c r="M13" s="5"/>
      <c r="N13" s="5"/>
      <c r="O13" s="8" t="s">
        <v>472</v>
      </c>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row>
    <row r="14" spans="1:50" ht="16" x14ac:dyDescent="0.2">
      <c r="A14" s="5" t="s">
        <v>112</v>
      </c>
      <c r="B14" s="5" t="s">
        <v>113</v>
      </c>
      <c r="C14" s="5" t="s">
        <v>26</v>
      </c>
      <c r="D14" s="7">
        <v>46159</v>
      </c>
      <c r="E14" s="7">
        <v>46159</v>
      </c>
      <c r="F14" s="5">
        <v>1</v>
      </c>
      <c r="G14" s="5" t="s">
        <v>25</v>
      </c>
      <c r="H14" s="5" t="s">
        <v>102</v>
      </c>
      <c r="I14" s="5"/>
      <c r="J14" s="5"/>
      <c r="K14" s="5"/>
      <c r="L14" s="5"/>
      <c r="M14" s="5"/>
      <c r="N14" s="5"/>
      <c r="O14" s="8" t="s">
        <v>472</v>
      </c>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row>
    <row r="15" spans="1:50" ht="32" x14ac:dyDescent="0.2">
      <c r="A15" s="5" t="s">
        <v>117</v>
      </c>
      <c r="B15" s="5" t="s">
        <v>119</v>
      </c>
      <c r="C15" s="5" t="s">
        <v>26</v>
      </c>
      <c r="D15" s="7">
        <v>46160</v>
      </c>
      <c r="E15" s="7">
        <v>46161</v>
      </c>
      <c r="F15" s="5">
        <v>2</v>
      </c>
      <c r="G15" s="5" t="s">
        <v>25</v>
      </c>
      <c r="H15" s="5" t="s">
        <v>123</v>
      </c>
      <c r="I15" s="5"/>
      <c r="J15" s="5"/>
      <c r="K15" s="5"/>
      <c r="L15" s="5"/>
      <c r="M15" s="5"/>
      <c r="N15" s="5"/>
      <c r="O15" s="5"/>
      <c r="P15" s="8" t="s">
        <v>472</v>
      </c>
      <c r="Q15" s="8" t="s">
        <v>472</v>
      </c>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row>
    <row r="16" spans="1:50" ht="16" x14ac:dyDescent="0.2">
      <c r="A16" s="5" t="s">
        <v>125</v>
      </c>
      <c r="B16" s="5" t="s">
        <v>126</v>
      </c>
      <c r="C16" s="5" t="s">
        <v>26</v>
      </c>
      <c r="D16" s="7">
        <v>46160</v>
      </c>
      <c r="E16" s="7">
        <v>46161</v>
      </c>
      <c r="F16" s="5">
        <v>2</v>
      </c>
      <c r="G16" s="5" t="s">
        <v>25</v>
      </c>
      <c r="H16" s="5" t="s">
        <v>129</v>
      </c>
      <c r="I16" s="5"/>
      <c r="J16" s="5"/>
      <c r="K16" s="5"/>
      <c r="L16" s="5"/>
      <c r="M16" s="5"/>
      <c r="N16" s="5"/>
      <c r="O16" s="5"/>
      <c r="P16" s="8" t="s">
        <v>472</v>
      </c>
      <c r="Q16" s="8" t="s">
        <v>472</v>
      </c>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row>
    <row r="17" spans="1:50" ht="16" x14ac:dyDescent="0.2">
      <c r="A17" s="5" t="s">
        <v>130</v>
      </c>
      <c r="B17" s="5" t="s">
        <v>131</v>
      </c>
      <c r="C17" s="5" t="s">
        <v>26</v>
      </c>
      <c r="D17" s="7">
        <v>46161</v>
      </c>
      <c r="E17" s="7">
        <v>46162</v>
      </c>
      <c r="F17" s="5">
        <v>2</v>
      </c>
      <c r="G17" s="5" t="s">
        <v>25</v>
      </c>
      <c r="H17" s="5" t="s">
        <v>134</v>
      </c>
      <c r="I17" s="5"/>
      <c r="J17" s="5"/>
      <c r="K17" s="5"/>
      <c r="L17" s="5"/>
      <c r="M17" s="5"/>
      <c r="N17" s="5"/>
      <c r="O17" s="5"/>
      <c r="P17" s="5"/>
      <c r="Q17" s="8" t="s">
        <v>472</v>
      </c>
      <c r="R17" s="8" t="s">
        <v>472</v>
      </c>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row>
    <row r="18" spans="1:50" ht="16" x14ac:dyDescent="0.2">
      <c r="A18" s="5" t="s">
        <v>135</v>
      </c>
      <c r="B18" s="5" t="s">
        <v>137</v>
      </c>
      <c r="C18" s="5" t="s">
        <v>26</v>
      </c>
      <c r="D18" s="7">
        <v>46162</v>
      </c>
      <c r="E18" s="7">
        <v>46163</v>
      </c>
      <c r="F18" s="5">
        <v>2</v>
      </c>
      <c r="G18" s="5" t="s">
        <v>25</v>
      </c>
      <c r="H18" s="5" t="s">
        <v>140</v>
      </c>
      <c r="I18" s="5"/>
      <c r="J18" s="5"/>
      <c r="K18" s="5"/>
      <c r="L18" s="5"/>
      <c r="M18" s="5"/>
      <c r="N18" s="5"/>
      <c r="O18" s="5"/>
      <c r="P18" s="5"/>
      <c r="Q18" s="5"/>
      <c r="R18" s="8" t="s">
        <v>472</v>
      </c>
      <c r="S18" s="8" t="s">
        <v>472</v>
      </c>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row>
    <row r="19" spans="1:50" ht="16" x14ac:dyDescent="0.2">
      <c r="A19" s="5" t="s">
        <v>141</v>
      </c>
      <c r="B19" s="5" t="s">
        <v>143</v>
      </c>
      <c r="C19" s="5" t="s">
        <v>26</v>
      </c>
      <c r="D19" s="7">
        <v>46162</v>
      </c>
      <c r="E19" s="7">
        <v>46163</v>
      </c>
      <c r="F19" s="5">
        <v>2</v>
      </c>
      <c r="G19" s="5" t="s">
        <v>25</v>
      </c>
      <c r="H19" s="5" t="s">
        <v>130</v>
      </c>
      <c r="I19" s="5"/>
      <c r="J19" s="5"/>
      <c r="K19" s="5"/>
      <c r="L19" s="5"/>
      <c r="M19" s="5"/>
      <c r="N19" s="5"/>
      <c r="O19" s="5"/>
      <c r="P19" s="5"/>
      <c r="Q19" s="5"/>
      <c r="R19" s="8" t="s">
        <v>472</v>
      </c>
      <c r="S19" s="8" t="s">
        <v>472</v>
      </c>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row>
    <row r="20" spans="1:50" ht="16" x14ac:dyDescent="0.2">
      <c r="A20" s="5" t="s">
        <v>146</v>
      </c>
      <c r="B20" s="5" t="s">
        <v>148</v>
      </c>
      <c r="C20" s="5" t="s">
        <v>27</v>
      </c>
      <c r="D20" s="7">
        <v>46164</v>
      </c>
      <c r="E20" s="7">
        <v>46164</v>
      </c>
      <c r="F20" s="5">
        <v>1</v>
      </c>
      <c r="G20" s="5" t="s">
        <v>25</v>
      </c>
      <c r="H20" s="5" t="s">
        <v>117</v>
      </c>
      <c r="I20" s="5"/>
      <c r="J20" s="5"/>
      <c r="K20" s="5"/>
      <c r="L20" s="5"/>
      <c r="M20" s="5"/>
      <c r="N20" s="5"/>
      <c r="O20" s="5"/>
      <c r="P20" s="5"/>
      <c r="Q20" s="5"/>
      <c r="R20" s="5"/>
      <c r="S20" s="5"/>
      <c r="T20" s="8" t="s">
        <v>472</v>
      </c>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row>
    <row r="21" spans="1:50" ht="16" x14ac:dyDescent="0.2">
      <c r="A21" s="5" t="s">
        <v>152</v>
      </c>
      <c r="B21" s="5" t="s">
        <v>153</v>
      </c>
      <c r="C21" s="5" t="s">
        <v>27</v>
      </c>
      <c r="D21" s="7">
        <v>46164</v>
      </c>
      <c r="E21" s="7">
        <v>46165</v>
      </c>
      <c r="F21" s="5">
        <v>2</v>
      </c>
      <c r="G21" s="5" t="s">
        <v>25</v>
      </c>
      <c r="H21" s="5" t="s">
        <v>156</v>
      </c>
      <c r="I21" s="5"/>
      <c r="J21" s="5"/>
      <c r="K21" s="5"/>
      <c r="L21" s="5"/>
      <c r="M21" s="5"/>
      <c r="N21" s="5"/>
      <c r="O21" s="5"/>
      <c r="P21" s="5"/>
      <c r="Q21" s="5"/>
      <c r="R21" s="5"/>
      <c r="S21" s="5"/>
      <c r="T21" s="8" t="s">
        <v>472</v>
      </c>
      <c r="U21" s="8" t="s">
        <v>472</v>
      </c>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row>
    <row r="22" spans="1:50" ht="16" x14ac:dyDescent="0.2">
      <c r="A22" s="5" t="s">
        <v>157</v>
      </c>
      <c r="B22" s="5" t="s">
        <v>158</v>
      </c>
      <c r="C22" s="5" t="s">
        <v>27</v>
      </c>
      <c r="D22" s="7">
        <v>46165</v>
      </c>
      <c r="E22" s="7">
        <v>46166</v>
      </c>
      <c r="F22" s="5">
        <v>2</v>
      </c>
      <c r="G22" s="5" t="s">
        <v>25</v>
      </c>
      <c r="H22" s="5" t="s">
        <v>152</v>
      </c>
      <c r="I22" s="5"/>
      <c r="J22" s="5"/>
      <c r="K22" s="5"/>
      <c r="L22" s="5"/>
      <c r="M22" s="5"/>
      <c r="N22" s="5"/>
      <c r="O22" s="5"/>
      <c r="P22" s="5"/>
      <c r="Q22" s="5"/>
      <c r="R22" s="5"/>
      <c r="S22" s="5"/>
      <c r="T22" s="5"/>
      <c r="U22" s="8" t="s">
        <v>472</v>
      </c>
      <c r="V22" s="8" t="s">
        <v>472</v>
      </c>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row>
    <row r="23" spans="1:50" ht="16" x14ac:dyDescent="0.2">
      <c r="A23" s="5" t="s">
        <v>161</v>
      </c>
      <c r="B23" s="5" t="s">
        <v>163</v>
      </c>
      <c r="C23" s="5" t="s">
        <v>27</v>
      </c>
      <c r="D23" s="7">
        <v>46166</v>
      </c>
      <c r="E23" s="7">
        <v>46166</v>
      </c>
      <c r="F23" s="5">
        <v>1</v>
      </c>
      <c r="G23" s="5" t="s">
        <v>25</v>
      </c>
      <c r="H23" s="5" t="s">
        <v>141</v>
      </c>
      <c r="I23" s="5"/>
      <c r="J23" s="5"/>
      <c r="K23" s="5"/>
      <c r="L23" s="5"/>
      <c r="M23" s="5"/>
      <c r="N23" s="5"/>
      <c r="O23" s="5"/>
      <c r="P23" s="5"/>
      <c r="Q23" s="5"/>
      <c r="R23" s="5"/>
      <c r="S23" s="5"/>
      <c r="T23" s="5"/>
      <c r="U23" s="5"/>
      <c r="V23" s="8" t="s">
        <v>472</v>
      </c>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row>
    <row r="24" spans="1:50" ht="16" x14ac:dyDescent="0.2">
      <c r="A24" s="5" t="s">
        <v>166</v>
      </c>
      <c r="B24" s="5" t="s">
        <v>167</v>
      </c>
      <c r="C24" s="5" t="s">
        <v>27</v>
      </c>
      <c r="D24" s="7">
        <v>46167</v>
      </c>
      <c r="E24" s="7">
        <v>46168</v>
      </c>
      <c r="F24" s="5">
        <v>2</v>
      </c>
      <c r="G24" s="5" t="s">
        <v>25</v>
      </c>
      <c r="H24" s="5" t="s">
        <v>171</v>
      </c>
      <c r="I24" s="5"/>
      <c r="J24" s="5"/>
      <c r="K24" s="5"/>
      <c r="L24" s="5"/>
      <c r="M24" s="5"/>
      <c r="N24" s="5"/>
      <c r="O24" s="5"/>
      <c r="P24" s="5"/>
      <c r="Q24" s="5"/>
      <c r="R24" s="5"/>
      <c r="S24" s="5"/>
      <c r="T24" s="5"/>
      <c r="U24" s="5"/>
      <c r="V24" s="5"/>
      <c r="W24" s="8" t="s">
        <v>472</v>
      </c>
      <c r="X24" s="8" t="s">
        <v>472</v>
      </c>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row>
    <row r="25" spans="1:50" ht="16" x14ac:dyDescent="0.2">
      <c r="A25" s="5" t="s">
        <v>172</v>
      </c>
      <c r="B25" s="5" t="s">
        <v>174</v>
      </c>
      <c r="C25" s="5" t="s">
        <v>27</v>
      </c>
      <c r="D25" s="7">
        <v>46166</v>
      </c>
      <c r="E25" s="7">
        <v>46167</v>
      </c>
      <c r="F25" s="5">
        <v>2</v>
      </c>
      <c r="G25" s="5" t="s">
        <v>25</v>
      </c>
      <c r="H25" s="5" t="s">
        <v>135</v>
      </c>
      <c r="I25" s="5"/>
      <c r="J25" s="5"/>
      <c r="K25" s="5"/>
      <c r="L25" s="5"/>
      <c r="M25" s="5"/>
      <c r="N25" s="5"/>
      <c r="O25" s="5"/>
      <c r="P25" s="5"/>
      <c r="Q25" s="5"/>
      <c r="R25" s="5"/>
      <c r="S25" s="5"/>
      <c r="T25" s="5"/>
      <c r="U25" s="5"/>
      <c r="V25" s="8" t="s">
        <v>472</v>
      </c>
      <c r="W25" s="8" t="s">
        <v>472</v>
      </c>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row>
    <row r="26" spans="1:50" ht="16" x14ac:dyDescent="0.2">
      <c r="A26" s="5" t="s">
        <v>177</v>
      </c>
      <c r="B26" s="5" t="s">
        <v>179</v>
      </c>
      <c r="C26" s="5" t="s">
        <v>27</v>
      </c>
      <c r="D26" s="7">
        <v>46168</v>
      </c>
      <c r="E26" s="7">
        <v>46169</v>
      </c>
      <c r="F26" s="5">
        <v>2</v>
      </c>
      <c r="G26" s="5" t="s">
        <v>25</v>
      </c>
      <c r="H26" s="5" t="s">
        <v>183</v>
      </c>
      <c r="I26" s="5"/>
      <c r="J26" s="5"/>
      <c r="K26" s="5"/>
      <c r="L26" s="5"/>
      <c r="M26" s="5"/>
      <c r="N26" s="5"/>
      <c r="O26" s="5"/>
      <c r="P26" s="5"/>
      <c r="Q26" s="5"/>
      <c r="R26" s="5"/>
      <c r="S26" s="5"/>
      <c r="T26" s="5"/>
      <c r="U26" s="5"/>
      <c r="V26" s="5"/>
      <c r="W26" s="5"/>
      <c r="X26" s="8" t="s">
        <v>472</v>
      </c>
      <c r="Y26" s="8" t="s">
        <v>472</v>
      </c>
      <c r="Z26" s="5"/>
      <c r="AA26" s="5"/>
      <c r="AB26" s="5"/>
      <c r="AC26" s="5"/>
      <c r="AD26" s="5"/>
      <c r="AE26" s="5"/>
      <c r="AF26" s="5"/>
      <c r="AG26" s="5"/>
      <c r="AH26" s="5"/>
      <c r="AI26" s="5"/>
      <c r="AJ26" s="5"/>
      <c r="AK26" s="5"/>
      <c r="AL26" s="5"/>
      <c r="AM26" s="5"/>
      <c r="AN26" s="5"/>
      <c r="AO26" s="5"/>
      <c r="AP26" s="5"/>
      <c r="AQ26" s="5"/>
      <c r="AR26" s="5"/>
      <c r="AS26" s="5"/>
      <c r="AT26" s="5"/>
      <c r="AU26" s="5"/>
      <c r="AV26" s="5"/>
      <c r="AW26" s="5"/>
      <c r="AX26" s="5"/>
    </row>
    <row r="27" spans="1:50" ht="16" x14ac:dyDescent="0.2">
      <c r="A27" s="5" t="s">
        <v>184</v>
      </c>
      <c r="B27" s="5" t="s">
        <v>186</v>
      </c>
      <c r="C27" s="5" t="s">
        <v>28</v>
      </c>
      <c r="D27" s="7">
        <v>46170</v>
      </c>
      <c r="E27" s="7">
        <v>46170</v>
      </c>
      <c r="F27" s="5">
        <v>1</v>
      </c>
      <c r="G27" s="5" t="s">
        <v>25</v>
      </c>
      <c r="H27" s="5" t="s">
        <v>117</v>
      </c>
      <c r="I27" s="5"/>
      <c r="J27" s="5"/>
      <c r="K27" s="5"/>
      <c r="L27" s="5"/>
      <c r="M27" s="5"/>
      <c r="N27" s="5"/>
      <c r="O27" s="5"/>
      <c r="P27" s="5"/>
      <c r="Q27" s="5"/>
      <c r="R27" s="5"/>
      <c r="S27" s="5"/>
      <c r="T27" s="5"/>
      <c r="U27" s="5"/>
      <c r="V27" s="5"/>
      <c r="W27" s="5"/>
      <c r="X27" s="5"/>
      <c r="Y27" s="5"/>
      <c r="Z27" s="8" t="s">
        <v>472</v>
      </c>
      <c r="AA27" s="5"/>
      <c r="AB27" s="5"/>
      <c r="AC27" s="5"/>
      <c r="AD27" s="5"/>
      <c r="AE27" s="5"/>
      <c r="AF27" s="5"/>
      <c r="AG27" s="5"/>
      <c r="AH27" s="5"/>
      <c r="AI27" s="5"/>
      <c r="AJ27" s="5"/>
      <c r="AK27" s="5"/>
      <c r="AL27" s="5"/>
      <c r="AM27" s="5"/>
      <c r="AN27" s="5"/>
      <c r="AO27" s="5"/>
      <c r="AP27" s="5"/>
      <c r="AQ27" s="5"/>
      <c r="AR27" s="5"/>
      <c r="AS27" s="5"/>
      <c r="AT27" s="5"/>
      <c r="AU27" s="5"/>
      <c r="AV27" s="5"/>
      <c r="AW27" s="5"/>
      <c r="AX27" s="5"/>
    </row>
    <row r="28" spans="1:50" ht="16" x14ac:dyDescent="0.2">
      <c r="A28" s="5" t="s">
        <v>190</v>
      </c>
      <c r="B28" s="5" t="s">
        <v>191</v>
      </c>
      <c r="C28" s="5" t="s">
        <v>28</v>
      </c>
      <c r="D28" s="7">
        <v>46170</v>
      </c>
      <c r="E28" s="7">
        <v>46170</v>
      </c>
      <c r="F28" s="5">
        <v>1</v>
      </c>
      <c r="G28" s="5" t="s">
        <v>25</v>
      </c>
      <c r="H28" s="5" t="s">
        <v>184</v>
      </c>
      <c r="I28" s="5"/>
      <c r="J28" s="5"/>
      <c r="K28" s="5"/>
      <c r="L28" s="5"/>
      <c r="M28" s="5"/>
      <c r="N28" s="5"/>
      <c r="O28" s="5"/>
      <c r="P28" s="5"/>
      <c r="Q28" s="5"/>
      <c r="R28" s="5"/>
      <c r="S28" s="5"/>
      <c r="T28" s="5"/>
      <c r="U28" s="5"/>
      <c r="V28" s="5"/>
      <c r="W28" s="5"/>
      <c r="X28" s="5"/>
      <c r="Y28" s="5"/>
      <c r="Z28" s="8" t="s">
        <v>472</v>
      </c>
      <c r="AA28" s="5"/>
      <c r="AB28" s="5"/>
      <c r="AC28" s="5"/>
      <c r="AD28" s="5"/>
      <c r="AE28" s="5"/>
      <c r="AF28" s="5"/>
      <c r="AG28" s="5"/>
      <c r="AH28" s="5"/>
      <c r="AI28" s="5"/>
      <c r="AJ28" s="5"/>
      <c r="AK28" s="5"/>
      <c r="AL28" s="5"/>
      <c r="AM28" s="5"/>
      <c r="AN28" s="5"/>
      <c r="AO28" s="5"/>
      <c r="AP28" s="5"/>
      <c r="AQ28" s="5"/>
      <c r="AR28" s="5"/>
      <c r="AS28" s="5"/>
      <c r="AT28" s="5"/>
      <c r="AU28" s="5"/>
      <c r="AV28" s="5"/>
      <c r="AW28" s="5"/>
      <c r="AX28" s="5"/>
    </row>
    <row r="29" spans="1:50" ht="16" x14ac:dyDescent="0.2">
      <c r="A29" s="5" t="s">
        <v>195</v>
      </c>
      <c r="B29" s="5" t="s">
        <v>197</v>
      </c>
      <c r="C29" s="5" t="s">
        <v>28</v>
      </c>
      <c r="D29" s="7">
        <v>46171</v>
      </c>
      <c r="E29" s="7">
        <v>46171</v>
      </c>
      <c r="F29" s="5">
        <v>1</v>
      </c>
      <c r="G29" s="5" t="s">
        <v>25</v>
      </c>
      <c r="H29" s="5" t="s">
        <v>184</v>
      </c>
      <c r="I29" s="5"/>
      <c r="J29" s="5"/>
      <c r="K29" s="5"/>
      <c r="L29" s="5"/>
      <c r="M29" s="5"/>
      <c r="N29" s="5"/>
      <c r="O29" s="5"/>
      <c r="P29" s="5"/>
      <c r="Q29" s="5"/>
      <c r="R29" s="5"/>
      <c r="S29" s="5"/>
      <c r="T29" s="5"/>
      <c r="U29" s="5"/>
      <c r="V29" s="5"/>
      <c r="W29" s="5"/>
      <c r="X29" s="5"/>
      <c r="Y29" s="5"/>
      <c r="Z29" s="5"/>
      <c r="AA29" s="8" t="s">
        <v>472</v>
      </c>
      <c r="AB29" s="5"/>
      <c r="AC29" s="5"/>
      <c r="AD29" s="5"/>
      <c r="AE29" s="5"/>
      <c r="AF29" s="5"/>
      <c r="AG29" s="5"/>
      <c r="AH29" s="5"/>
      <c r="AI29" s="5"/>
      <c r="AJ29" s="5"/>
      <c r="AK29" s="5"/>
      <c r="AL29" s="5"/>
      <c r="AM29" s="5"/>
      <c r="AN29" s="5"/>
      <c r="AO29" s="5"/>
      <c r="AP29" s="5"/>
      <c r="AQ29" s="5"/>
      <c r="AR29" s="5"/>
      <c r="AS29" s="5"/>
      <c r="AT29" s="5"/>
      <c r="AU29" s="5"/>
      <c r="AV29" s="5"/>
      <c r="AW29" s="5"/>
      <c r="AX29" s="5"/>
    </row>
    <row r="30" spans="1:50" ht="16" x14ac:dyDescent="0.2">
      <c r="A30" s="5" t="s">
        <v>200</v>
      </c>
      <c r="B30" s="5" t="s">
        <v>201</v>
      </c>
      <c r="C30" s="5" t="s">
        <v>28</v>
      </c>
      <c r="D30" s="7">
        <v>46171</v>
      </c>
      <c r="E30" s="7">
        <v>46172</v>
      </c>
      <c r="F30" s="5">
        <v>2</v>
      </c>
      <c r="G30" s="5" t="s">
        <v>25</v>
      </c>
      <c r="H30" s="5" t="s">
        <v>204</v>
      </c>
      <c r="I30" s="5"/>
      <c r="J30" s="5"/>
      <c r="K30" s="5"/>
      <c r="L30" s="5"/>
      <c r="M30" s="5"/>
      <c r="N30" s="5"/>
      <c r="O30" s="5"/>
      <c r="P30" s="5"/>
      <c r="Q30" s="5"/>
      <c r="R30" s="5"/>
      <c r="S30" s="5"/>
      <c r="T30" s="5"/>
      <c r="U30" s="5"/>
      <c r="V30" s="5"/>
      <c r="W30" s="5"/>
      <c r="X30" s="5"/>
      <c r="Y30" s="5"/>
      <c r="Z30" s="5"/>
      <c r="AA30" s="8" t="s">
        <v>472</v>
      </c>
      <c r="AB30" s="8" t="s">
        <v>472</v>
      </c>
      <c r="AC30" s="5"/>
      <c r="AD30" s="5"/>
      <c r="AE30" s="5"/>
      <c r="AF30" s="5"/>
      <c r="AG30" s="5"/>
      <c r="AH30" s="5"/>
      <c r="AI30" s="5"/>
      <c r="AJ30" s="5"/>
      <c r="AK30" s="5"/>
      <c r="AL30" s="5"/>
      <c r="AM30" s="5"/>
      <c r="AN30" s="5"/>
      <c r="AO30" s="5"/>
      <c r="AP30" s="5"/>
      <c r="AQ30" s="5"/>
      <c r="AR30" s="5"/>
      <c r="AS30" s="5"/>
      <c r="AT30" s="5"/>
      <c r="AU30" s="5"/>
      <c r="AV30" s="5"/>
      <c r="AW30" s="5"/>
      <c r="AX30" s="5"/>
    </row>
    <row r="31" spans="1:50" ht="16" x14ac:dyDescent="0.2">
      <c r="A31" s="5" t="s">
        <v>205</v>
      </c>
      <c r="B31" s="5" t="s">
        <v>206</v>
      </c>
      <c r="C31" s="5" t="s">
        <v>28</v>
      </c>
      <c r="D31" s="7">
        <v>46172</v>
      </c>
      <c r="E31" s="7">
        <v>46173</v>
      </c>
      <c r="F31" s="5">
        <v>2</v>
      </c>
      <c r="G31" s="5" t="s">
        <v>25</v>
      </c>
      <c r="H31" s="5" t="s">
        <v>200</v>
      </c>
      <c r="I31" s="5"/>
      <c r="J31" s="5"/>
      <c r="K31" s="5"/>
      <c r="L31" s="5"/>
      <c r="M31" s="5"/>
      <c r="N31" s="5"/>
      <c r="O31" s="5"/>
      <c r="P31" s="5"/>
      <c r="Q31" s="5"/>
      <c r="R31" s="5"/>
      <c r="S31" s="5"/>
      <c r="T31" s="5"/>
      <c r="U31" s="5"/>
      <c r="V31" s="5"/>
      <c r="W31" s="5"/>
      <c r="X31" s="5"/>
      <c r="Y31" s="5"/>
      <c r="Z31" s="5"/>
      <c r="AA31" s="5"/>
      <c r="AB31" s="8" t="s">
        <v>472</v>
      </c>
      <c r="AC31" s="8" t="s">
        <v>472</v>
      </c>
      <c r="AD31" s="5"/>
      <c r="AE31" s="5"/>
      <c r="AF31" s="5"/>
      <c r="AG31" s="5"/>
      <c r="AH31" s="5"/>
      <c r="AI31" s="5"/>
      <c r="AJ31" s="5"/>
      <c r="AK31" s="5"/>
      <c r="AL31" s="5"/>
      <c r="AM31" s="5"/>
      <c r="AN31" s="5"/>
      <c r="AO31" s="5"/>
      <c r="AP31" s="5"/>
      <c r="AQ31" s="5"/>
      <c r="AR31" s="5"/>
      <c r="AS31" s="5"/>
      <c r="AT31" s="5"/>
      <c r="AU31" s="5"/>
      <c r="AV31" s="5"/>
      <c r="AW31" s="5"/>
      <c r="AX31" s="5"/>
    </row>
    <row r="32" spans="1:50" ht="16" x14ac:dyDescent="0.2">
      <c r="A32" s="5" t="s">
        <v>209</v>
      </c>
      <c r="B32" s="5" t="s">
        <v>210</v>
      </c>
      <c r="C32" s="5" t="s">
        <v>28</v>
      </c>
      <c r="D32" s="7">
        <v>46173</v>
      </c>
      <c r="E32" s="7">
        <v>46174</v>
      </c>
      <c r="F32" s="5">
        <v>2</v>
      </c>
      <c r="G32" s="5" t="s">
        <v>25</v>
      </c>
      <c r="H32" s="5" t="s">
        <v>205</v>
      </c>
      <c r="I32" s="5"/>
      <c r="J32" s="5"/>
      <c r="K32" s="5"/>
      <c r="L32" s="5"/>
      <c r="M32" s="5"/>
      <c r="N32" s="5"/>
      <c r="O32" s="5"/>
      <c r="P32" s="5"/>
      <c r="Q32" s="5"/>
      <c r="R32" s="5"/>
      <c r="S32" s="5"/>
      <c r="T32" s="5"/>
      <c r="U32" s="5"/>
      <c r="V32" s="5"/>
      <c r="W32" s="5"/>
      <c r="X32" s="5"/>
      <c r="Y32" s="5"/>
      <c r="Z32" s="5"/>
      <c r="AA32" s="5"/>
      <c r="AB32" s="5"/>
      <c r="AC32" s="8" t="s">
        <v>472</v>
      </c>
      <c r="AD32" s="8" t="s">
        <v>472</v>
      </c>
      <c r="AE32" s="5"/>
      <c r="AF32" s="5"/>
      <c r="AG32" s="5"/>
      <c r="AH32" s="5"/>
      <c r="AI32" s="5"/>
      <c r="AJ32" s="5"/>
      <c r="AK32" s="5"/>
      <c r="AL32" s="5"/>
      <c r="AM32" s="5"/>
      <c r="AN32" s="5"/>
      <c r="AO32" s="5"/>
      <c r="AP32" s="5"/>
      <c r="AQ32" s="5"/>
      <c r="AR32" s="5"/>
      <c r="AS32" s="5"/>
      <c r="AT32" s="5"/>
      <c r="AU32" s="5"/>
      <c r="AV32" s="5"/>
      <c r="AW32" s="5"/>
      <c r="AX32" s="5"/>
    </row>
    <row r="33" spans="1:50" ht="16" x14ac:dyDescent="0.2">
      <c r="A33" s="5" t="s">
        <v>213</v>
      </c>
      <c r="B33" s="5" t="s">
        <v>214</v>
      </c>
      <c r="C33" s="5" t="s">
        <v>28</v>
      </c>
      <c r="D33" s="7">
        <v>46174</v>
      </c>
      <c r="E33" s="7">
        <v>46175</v>
      </c>
      <c r="F33" s="5">
        <v>2</v>
      </c>
      <c r="G33" s="5" t="s">
        <v>25</v>
      </c>
      <c r="H33" s="5" t="s">
        <v>217</v>
      </c>
      <c r="I33" s="5"/>
      <c r="J33" s="5"/>
      <c r="K33" s="5"/>
      <c r="L33" s="5"/>
      <c r="M33" s="5"/>
      <c r="N33" s="5"/>
      <c r="O33" s="5"/>
      <c r="P33" s="5"/>
      <c r="Q33" s="5"/>
      <c r="R33" s="5"/>
      <c r="S33" s="5"/>
      <c r="T33" s="5"/>
      <c r="U33" s="5"/>
      <c r="V33" s="5"/>
      <c r="W33" s="5"/>
      <c r="X33" s="5"/>
      <c r="Y33" s="5"/>
      <c r="Z33" s="5"/>
      <c r="AA33" s="5"/>
      <c r="AB33" s="5"/>
      <c r="AC33" s="5"/>
      <c r="AD33" s="8" t="s">
        <v>472</v>
      </c>
      <c r="AE33" s="8" t="s">
        <v>472</v>
      </c>
      <c r="AF33" s="5"/>
      <c r="AG33" s="5"/>
      <c r="AH33" s="5"/>
      <c r="AI33" s="5"/>
      <c r="AJ33" s="5"/>
      <c r="AK33" s="5"/>
      <c r="AL33" s="5"/>
      <c r="AM33" s="5"/>
      <c r="AN33" s="5"/>
      <c r="AO33" s="5"/>
      <c r="AP33" s="5"/>
      <c r="AQ33" s="5"/>
      <c r="AR33" s="5"/>
      <c r="AS33" s="5"/>
      <c r="AT33" s="5"/>
      <c r="AU33" s="5"/>
      <c r="AV33" s="5"/>
      <c r="AW33" s="5"/>
      <c r="AX33" s="5"/>
    </row>
    <row r="34" spans="1:50" ht="16" x14ac:dyDescent="0.2">
      <c r="A34" s="5" t="s">
        <v>218</v>
      </c>
      <c r="B34" s="5" t="s">
        <v>220</v>
      </c>
      <c r="C34" s="5" t="s">
        <v>28</v>
      </c>
      <c r="D34" s="7">
        <v>46173</v>
      </c>
      <c r="E34" s="7">
        <v>46174</v>
      </c>
      <c r="F34" s="5">
        <v>2</v>
      </c>
      <c r="G34" s="5" t="s">
        <v>25</v>
      </c>
      <c r="H34" s="5" t="s">
        <v>223</v>
      </c>
      <c r="I34" s="5"/>
      <c r="J34" s="5"/>
      <c r="K34" s="5"/>
      <c r="L34" s="5"/>
      <c r="M34" s="5"/>
      <c r="N34" s="5"/>
      <c r="O34" s="5"/>
      <c r="P34" s="5"/>
      <c r="Q34" s="5"/>
      <c r="R34" s="5"/>
      <c r="S34" s="5"/>
      <c r="T34" s="5"/>
      <c r="U34" s="5"/>
      <c r="V34" s="5"/>
      <c r="W34" s="5"/>
      <c r="X34" s="5"/>
      <c r="Y34" s="5"/>
      <c r="Z34" s="5"/>
      <c r="AA34" s="5"/>
      <c r="AB34" s="5"/>
      <c r="AC34" s="8" t="s">
        <v>472</v>
      </c>
      <c r="AD34" s="8" t="s">
        <v>472</v>
      </c>
      <c r="AE34" s="5"/>
      <c r="AF34" s="5"/>
      <c r="AG34" s="5"/>
      <c r="AH34" s="5"/>
      <c r="AI34" s="5"/>
      <c r="AJ34" s="5"/>
      <c r="AK34" s="5"/>
      <c r="AL34" s="5"/>
      <c r="AM34" s="5"/>
      <c r="AN34" s="5"/>
      <c r="AO34" s="5"/>
      <c r="AP34" s="5"/>
      <c r="AQ34" s="5"/>
      <c r="AR34" s="5"/>
      <c r="AS34" s="5"/>
      <c r="AT34" s="5"/>
      <c r="AU34" s="5"/>
      <c r="AV34" s="5"/>
      <c r="AW34" s="5"/>
      <c r="AX34" s="5"/>
    </row>
    <row r="35" spans="1:50" ht="16" x14ac:dyDescent="0.2">
      <c r="A35" s="5" t="s">
        <v>224</v>
      </c>
      <c r="B35" s="5" t="s">
        <v>225</v>
      </c>
      <c r="C35" s="5" t="s">
        <v>28</v>
      </c>
      <c r="D35" s="7">
        <v>46174</v>
      </c>
      <c r="E35" s="7">
        <v>46176</v>
      </c>
      <c r="F35" s="5">
        <v>3</v>
      </c>
      <c r="G35" s="5" t="s">
        <v>25</v>
      </c>
      <c r="H35" s="5" t="s">
        <v>228</v>
      </c>
      <c r="I35" s="5"/>
      <c r="J35" s="5"/>
      <c r="K35" s="5"/>
      <c r="L35" s="5"/>
      <c r="M35" s="5"/>
      <c r="N35" s="5"/>
      <c r="O35" s="5"/>
      <c r="P35" s="5"/>
      <c r="Q35" s="5"/>
      <c r="R35" s="5"/>
      <c r="S35" s="5"/>
      <c r="T35" s="5"/>
      <c r="U35" s="5"/>
      <c r="V35" s="5"/>
      <c r="W35" s="5"/>
      <c r="X35" s="5"/>
      <c r="Y35" s="5"/>
      <c r="Z35" s="5"/>
      <c r="AA35" s="5"/>
      <c r="AB35" s="5"/>
      <c r="AC35" s="5"/>
      <c r="AD35" s="8" t="s">
        <v>472</v>
      </c>
      <c r="AE35" s="8" t="s">
        <v>472</v>
      </c>
      <c r="AF35" s="8" t="s">
        <v>472</v>
      </c>
      <c r="AG35" s="5"/>
      <c r="AH35" s="5"/>
      <c r="AI35" s="5"/>
      <c r="AJ35" s="5"/>
      <c r="AK35" s="5"/>
      <c r="AL35" s="5"/>
      <c r="AM35" s="5"/>
      <c r="AN35" s="5"/>
      <c r="AO35" s="5"/>
      <c r="AP35" s="5"/>
      <c r="AQ35" s="5"/>
      <c r="AR35" s="5"/>
      <c r="AS35" s="5"/>
      <c r="AT35" s="5"/>
      <c r="AU35" s="5"/>
      <c r="AV35" s="5"/>
      <c r="AW35" s="5"/>
      <c r="AX35" s="5"/>
    </row>
    <row r="36" spans="1:50" ht="16" x14ac:dyDescent="0.2">
      <c r="A36" s="5" t="s">
        <v>229</v>
      </c>
      <c r="B36" s="5" t="s">
        <v>230</v>
      </c>
      <c r="C36" s="5" t="s">
        <v>28</v>
      </c>
      <c r="D36" s="7">
        <v>46176</v>
      </c>
      <c r="E36" s="7">
        <v>46177</v>
      </c>
      <c r="F36" s="5">
        <v>2</v>
      </c>
      <c r="G36" s="5" t="s">
        <v>25</v>
      </c>
      <c r="H36" s="5" t="s">
        <v>233</v>
      </c>
      <c r="I36" s="5"/>
      <c r="J36" s="5"/>
      <c r="K36" s="5"/>
      <c r="L36" s="5"/>
      <c r="M36" s="5"/>
      <c r="N36" s="5"/>
      <c r="O36" s="5"/>
      <c r="P36" s="5"/>
      <c r="Q36" s="5"/>
      <c r="R36" s="5"/>
      <c r="S36" s="5"/>
      <c r="T36" s="5"/>
      <c r="U36" s="5"/>
      <c r="V36" s="5"/>
      <c r="W36" s="5"/>
      <c r="X36" s="5"/>
      <c r="Y36" s="5"/>
      <c r="Z36" s="5"/>
      <c r="AA36" s="5"/>
      <c r="AB36" s="5"/>
      <c r="AC36" s="5"/>
      <c r="AD36" s="5"/>
      <c r="AE36" s="5"/>
      <c r="AF36" s="8" t="s">
        <v>472</v>
      </c>
      <c r="AG36" s="8" t="s">
        <v>472</v>
      </c>
      <c r="AH36" s="5"/>
      <c r="AI36" s="5"/>
      <c r="AJ36" s="5"/>
      <c r="AK36" s="5"/>
      <c r="AL36" s="5"/>
      <c r="AM36" s="5"/>
      <c r="AN36" s="5"/>
      <c r="AO36" s="5"/>
      <c r="AP36" s="5"/>
      <c r="AQ36" s="5"/>
      <c r="AR36" s="5"/>
      <c r="AS36" s="5"/>
      <c r="AT36" s="5"/>
      <c r="AU36" s="5"/>
      <c r="AV36" s="5"/>
      <c r="AW36" s="5"/>
      <c r="AX36" s="5"/>
    </row>
    <row r="37" spans="1:50" ht="16" x14ac:dyDescent="0.2">
      <c r="A37" s="5" t="s">
        <v>234</v>
      </c>
      <c r="B37" s="5" t="s">
        <v>236</v>
      </c>
      <c r="C37" s="5" t="s">
        <v>30</v>
      </c>
      <c r="D37" s="7">
        <v>46178</v>
      </c>
      <c r="E37" s="7">
        <v>46178</v>
      </c>
      <c r="F37" s="5">
        <v>1</v>
      </c>
      <c r="G37" s="5" t="s">
        <v>25</v>
      </c>
      <c r="H37" s="5" t="s">
        <v>117</v>
      </c>
      <c r="I37" s="5"/>
      <c r="J37" s="5"/>
      <c r="K37" s="5"/>
      <c r="L37" s="5"/>
      <c r="M37" s="5"/>
      <c r="N37" s="5"/>
      <c r="O37" s="5"/>
      <c r="P37" s="5"/>
      <c r="Q37" s="5"/>
      <c r="R37" s="5"/>
      <c r="S37" s="5"/>
      <c r="T37" s="5"/>
      <c r="U37" s="5"/>
      <c r="V37" s="5"/>
      <c r="W37" s="5"/>
      <c r="X37" s="5"/>
      <c r="Y37" s="5"/>
      <c r="Z37" s="5"/>
      <c r="AA37" s="5"/>
      <c r="AB37" s="5"/>
      <c r="AC37" s="5"/>
      <c r="AD37" s="5"/>
      <c r="AE37" s="5"/>
      <c r="AF37" s="5"/>
      <c r="AG37" s="5"/>
      <c r="AH37" s="8" t="s">
        <v>472</v>
      </c>
      <c r="AI37" s="5"/>
      <c r="AJ37" s="5"/>
      <c r="AK37" s="5"/>
      <c r="AL37" s="5"/>
      <c r="AM37" s="5"/>
      <c r="AN37" s="5"/>
      <c r="AO37" s="5"/>
      <c r="AP37" s="5"/>
      <c r="AQ37" s="5"/>
      <c r="AR37" s="5"/>
      <c r="AS37" s="5"/>
      <c r="AT37" s="5"/>
      <c r="AU37" s="5"/>
      <c r="AV37" s="5"/>
      <c r="AW37" s="5"/>
      <c r="AX37" s="5"/>
    </row>
    <row r="38" spans="1:50" ht="16" x14ac:dyDescent="0.2">
      <c r="A38" s="5" t="s">
        <v>240</v>
      </c>
      <c r="B38" s="5" t="s">
        <v>242</v>
      </c>
      <c r="C38" s="5" t="s">
        <v>30</v>
      </c>
      <c r="D38" s="7">
        <v>46178</v>
      </c>
      <c r="E38" s="7">
        <v>46179</v>
      </c>
      <c r="F38" s="5">
        <v>2</v>
      </c>
      <c r="G38" s="5" t="s">
        <v>25</v>
      </c>
      <c r="H38" s="5" t="s">
        <v>245</v>
      </c>
      <c r="I38" s="5"/>
      <c r="J38" s="5"/>
      <c r="K38" s="5"/>
      <c r="L38" s="5"/>
      <c r="M38" s="5"/>
      <c r="N38" s="5"/>
      <c r="O38" s="5"/>
      <c r="P38" s="5"/>
      <c r="Q38" s="5"/>
      <c r="R38" s="5"/>
      <c r="S38" s="5"/>
      <c r="T38" s="5"/>
      <c r="U38" s="5"/>
      <c r="V38" s="5"/>
      <c r="W38" s="5"/>
      <c r="X38" s="5"/>
      <c r="Y38" s="5"/>
      <c r="Z38" s="5"/>
      <c r="AA38" s="5"/>
      <c r="AB38" s="5"/>
      <c r="AC38" s="5"/>
      <c r="AD38" s="5"/>
      <c r="AE38" s="5"/>
      <c r="AF38" s="5"/>
      <c r="AG38" s="5"/>
      <c r="AH38" s="8" t="s">
        <v>472</v>
      </c>
      <c r="AI38" s="8" t="s">
        <v>472</v>
      </c>
      <c r="AJ38" s="5"/>
      <c r="AK38" s="5"/>
      <c r="AL38" s="5"/>
      <c r="AM38" s="5"/>
      <c r="AN38" s="5"/>
      <c r="AO38" s="5"/>
      <c r="AP38" s="5"/>
      <c r="AQ38" s="5"/>
      <c r="AR38" s="5"/>
      <c r="AS38" s="5"/>
      <c r="AT38" s="5"/>
      <c r="AU38" s="5"/>
      <c r="AV38" s="5"/>
      <c r="AW38" s="5"/>
      <c r="AX38" s="5"/>
    </row>
    <row r="39" spans="1:50" ht="16" x14ac:dyDescent="0.2">
      <c r="A39" s="5" t="s">
        <v>246</v>
      </c>
      <c r="B39" s="5" t="s">
        <v>247</v>
      </c>
      <c r="C39" s="5" t="s">
        <v>30</v>
      </c>
      <c r="D39" s="7">
        <v>46179</v>
      </c>
      <c r="E39" s="7">
        <v>46180</v>
      </c>
      <c r="F39" s="5">
        <v>2</v>
      </c>
      <c r="G39" s="5" t="s">
        <v>25</v>
      </c>
      <c r="H39" s="5" t="s">
        <v>240</v>
      </c>
      <c r="I39" s="5"/>
      <c r="J39" s="5"/>
      <c r="K39" s="5"/>
      <c r="L39" s="5"/>
      <c r="M39" s="5"/>
      <c r="N39" s="5"/>
      <c r="O39" s="5"/>
      <c r="P39" s="5"/>
      <c r="Q39" s="5"/>
      <c r="R39" s="5"/>
      <c r="S39" s="5"/>
      <c r="T39" s="5"/>
      <c r="U39" s="5"/>
      <c r="V39" s="5"/>
      <c r="W39" s="5"/>
      <c r="X39" s="5"/>
      <c r="Y39" s="5"/>
      <c r="Z39" s="5"/>
      <c r="AA39" s="5"/>
      <c r="AB39" s="5"/>
      <c r="AC39" s="5"/>
      <c r="AD39" s="5"/>
      <c r="AE39" s="5"/>
      <c r="AF39" s="5"/>
      <c r="AG39" s="5"/>
      <c r="AH39" s="5"/>
      <c r="AI39" s="8" t="s">
        <v>472</v>
      </c>
      <c r="AJ39" s="8" t="s">
        <v>472</v>
      </c>
      <c r="AK39" s="5"/>
      <c r="AL39" s="5"/>
      <c r="AM39" s="5"/>
      <c r="AN39" s="5"/>
      <c r="AO39" s="5"/>
      <c r="AP39" s="5"/>
      <c r="AQ39" s="5"/>
      <c r="AR39" s="5"/>
      <c r="AS39" s="5"/>
      <c r="AT39" s="5"/>
      <c r="AU39" s="5"/>
      <c r="AV39" s="5"/>
      <c r="AW39" s="5"/>
      <c r="AX39" s="5"/>
    </row>
    <row r="40" spans="1:50" ht="16" x14ac:dyDescent="0.2">
      <c r="A40" s="5" t="s">
        <v>250</v>
      </c>
      <c r="B40" s="5" t="s">
        <v>252</v>
      </c>
      <c r="C40" s="5" t="s">
        <v>30</v>
      </c>
      <c r="D40" s="7">
        <v>46180</v>
      </c>
      <c r="E40" s="7">
        <v>46181</v>
      </c>
      <c r="F40" s="5">
        <v>2</v>
      </c>
      <c r="G40" s="5" t="s">
        <v>25</v>
      </c>
      <c r="H40" s="5" t="s">
        <v>240</v>
      </c>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8" t="s">
        <v>472</v>
      </c>
      <c r="AK40" s="8" t="s">
        <v>472</v>
      </c>
      <c r="AL40" s="5"/>
      <c r="AM40" s="5"/>
      <c r="AN40" s="5"/>
      <c r="AO40" s="5"/>
      <c r="AP40" s="5"/>
      <c r="AQ40" s="5"/>
      <c r="AR40" s="5"/>
      <c r="AS40" s="5"/>
      <c r="AT40" s="5"/>
      <c r="AU40" s="5"/>
      <c r="AV40" s="5"/>
      <c r="AW40" s="5"/>
      <c r="AX40" s="5"/>
    </row>
    <row r="41" spans="1:50" ht="16" x14ac:dyDescent="0.2">
      <c r="A41" s="5" t="s">
        <v>255</v>
      </c>
      <c r="B41" s="5" t="s">
        <v>257</v>
      </c>
      <c r="C41" s="5" t="s">
        <v>30</v>
      </c>
      <c r="D41" s="7">
        <v>46180</v>
      </c>
      <c r="E41" s="7">
        <v>46180</v>
      </c>
      <c r="F41" s="5">
        <v>1</v>
      </c>
      <c r="G41" s="5" t="s">
        <v>25</v>
      </c>
      <c r="H41" s="5" t="s">
        <v>260</v>
      </c>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8" t="s">
        <v>472</v>
      </c>
      <c r="AK41" s="5"/>
      <c r="AL41" s="5"/>
      <c r="AM41" s="5"/>
      <c r="AN41" s="5"/>
      <c r="AO41" s="5"/>
      <c r="AP41" s="5"/>
      <c r="AQ41" s="5"/>
      <c r="AR41" s="5"/>
      <c r="AS41" s="5"/>
      <c r="AT41" s="5"/>
      <c r="AU41" s="5"/>
      <c r="AV41" s="5"/>
      <c r="AW41" s="5"/>
      <c r="AX41" s="5"/>
    </row>
    <row r="42" spans="1:50" ht="16" x14ac:dyDescent="0.2">
      <c r="A42" s="5" t="s">
        <v>262</v>
      </c>
      <c r="B42" s="5" t="s">
        <v>263</v>
      </c>
      <c r="C42" s="5" t="s">
        <v>30</v>
      </c>
      <c r="D42" s="7">
        <v>46181</v>
      </c>
      <c r="E42" s="7">
        <v>46182</v>
      </c>
      <c r="F42" s="5">
        <v>2</v>
      </c>
      <c r="G42" s="5" t="s">
        <v>25</v>
      </c>
      <c r="H42" s="5" t="s">
        <v>255</v>
      </c>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8" t="s">
        <v>472</v>
      </c>
      <c r="AL42" s="8" t="s">
        <v>472</v>
      </c>
      <c r="AM42" s="5"/>
      <c r="AN42" s="5"/>
      <c r="AO42" s="5"/>
      <c r="AP42" s="5"/>
      <c r="AQ42" s="5"/>
      <c r="AR42" s="5"/>
      <c r="AS42" s="5"/>
      <c r="AT42" s="5"/>
      <c r="AU42" s="5"/>
      <c r="AV42" s="5"/>
      <c r="AW42" s="5"/>
      <c r="AX42" s="5"/>
    </row>
    <row r="43" spans="1:50" ht="16" x14ac:dyDescent="0.2">
      <c r="A43" s="5" t="s">
        <v>266</v>
      </c>
      <c r="B43" s="5" t="s">
        <v>267</v>
      </c>
      <c r="C43" s="5" t="s">
        <v>30</v>
      </c>
      <c r="D43" s="7">
        <v>46182</v>
      </c>
      <c r="E43" s="7">
        <v>46184</v>
      </c>
      <c r="F43" s="5">
        <v>3</v>
      </c>
      <c r="G43" s="5" t="s">
        <v>25</v>
      </c>
      <c r="H43" s="5" t="s">
        <v>270</v>
      </c>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8" t="s">
        <v>472</v>
      </c>
      <c r="AM43" s="8" t="s">
        <v>472</v>
      </c>
      <c r="AN43" s="8" t="s">
        <v>472</v>
      </c>
      <c r="AO43" s="5"/>
      <c r="AP43" s="5"/>
      <c r="AQ43" s="5"/>
      <c r="AR43" s="5"/>
      <c r="AS43" s="5"/>
      <c r="AT43" s="5"/>
      <c r="AU43" s="5"/>
      <c r="AV43" s="5"/>
      <c r="AW43" s="5"/>
      <c r="AX43" s="5"/>
    </row>
    <row r="44" spans="1:50" ht="16" x14ac:dyDescent="0.2">
      <c r="A44" s="5" t="s">
        <v>271</v>
      </c>
      <c r="B44" s="5" t="s">
        <v>272</v>
      </c>
      <c r="C44" s="5" t="s">
        <v>30</v>
      </c>
      <c r="D44" s="7">
        <v>46183</v>
      </c>
      <c r="E44" s="7">
        <v>46185</v>
      </c>
      <c r="F44" s="5">
        <v>3</v>
      </c>
      <c r="G44" s="5" t="s">
        <v>25</v>
      </c>
      <c r="H44" s="5" t="s">
        <v>275</v>
      </c>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8" t="s">
        <v>472</v>
      </c>
      <c r="AN44" s="8" t="s">
        <v>472</v>
      </c>
      <c r="AO44" s="8" t="s">
        <v>472</v>
      </c>
      <c r="AP44" s="5"/>
      <c r="AQ44" s="5"/>
      <c r="AR44" s="5"/>
      <c r="AS44" s="5"/>
      <c r="AT44" s="5"/>
      <c r="AU44" s="5"/>
      <c r="AV44" s="5"/>
      <c r="AW44" s="5"/>
      <c r="AX44" s="5"/>
    </row>
    <row r="45" spans="1:50" ht="16" x14ac:dyDescent="0.2">
      <c r="A45" s="5" t="s">
        <v>276</v>
      </c>
      <c r="B45" s="5" t="s">
        <v>278</v>
      </c>
      <c r="C45" s="5" t="s">
        <v>31</v>
      </c>
      <c r="D45" s="7">
        <v>46186</v>
      </c>
      <c r="E45" s="7">
        <v>46186</v>
      </c>
      <c r="F45" s="5">
        <v>1</v>
      </c>
      <c r="G45" s="5" t="s">
        <v>25</v>
      </c>
      <c r="H45" s="5" t="s">
        <v>117</v>
      </c>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8" t="s">
        <v>472</v>
      </c>
      <c r="AQ45" s="5"/>
      <c r="AR45" s="5"/>
      <c r="AS45" s="5"/>
      <c r="AT45" s="5"/>
      <c r="AU45" s="5"/>
      <c r="AV45" s="5"/>
      <c r="AW45" s="5"/>
      <c r="AX45" s="5"/>
    </row>
    <row r="46" spans="1:50" ht="16" x14ac:dyDescent="0.2">
      <c r="A46" s="5" t="s">
        <v>282</v>
      </c>
      <c r="B46" s="5" t="s">
        <v>283</v>
      </c>
      <c r="C46" s="5" t="s">
        <v>31</v>
      </c>
      <c r="D46" s="7">
        <v>46187</v>
      </c>
      <c r="E46" s="7">
        <v>46188</v>
      </c>
      <c r="F46" s="5">
        <v>2</v>
      </c>
      <c r="G46" s="5" t="s">
        <v>25</v>
      </c>
      <c r="H46" s="5" t="s">
        <v>286</v>
      </c>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8" t="s">
        <v>472</v>
      </c>
      <c r="AR46" s="8" t="s">
        <v>472</v>
      </c>
      <c r="AS46" s="5"/>
      <c r="AT46" s="5"/>
      <c r="AU46" s="5"/>
      <c r="AV46" s="5"/>
      <c r="AW46" s="5"/>
      <c r="AX46" s="5"/>
    </row>
    <row r="47" spans="1:50" ht="16" x14ac:dyDescent="0.2">
      <c r="A47" s="5" t="s">
        <v>287</v>
      </c>
      <c r="B47" s="5" t="s">
        <v>288</v>
      </c>
      <c r="C47" s="5" t="s">
        <v>31</v>
      </c>
      <c r="D47" s="7">
        <v>46188</v>
      </c>
      <c r="E47" s="7">
        <v>46188</v>
      </c>
      <c r="F47" s="5">
        <v>1</v>
      </c>
      <c r="G47" s="5" t="s">
        <v>25</v>
      </c>
      <c r="H47" s="5" t="s">
        <v>282</v>
      </c>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8" t="s">
        <v>472</v>
      </c>
      <c r="AS47" s="5"/>
      <c r="AT47" s="5"/>
      <c r="AU47" s="5"/>
      <c r="AV47" s="5"/>
      <c r="AW47" s="5"/>
      <c r="AX47" s="5"/>
    </row>
    <row r="48" spans="1:50" ht="16" x14ac:dyDescent="0.2">
      <c r="A48" s="5" t="s">
        <v>291</v>
      </c>
      <c r="B48" s="5" t="s">
        <v>292</v>
      </c>
      <c r="C48" s="5" t="s">
        <v>31</v>
      </c>
      <c r="D48" s="7">
        <v>46189</v>
      </c>
      <c r="E48" s="7">
        <v>46190</v>
      </c>
      <c r="F48" s="5">
        <v>2</v>
      </c>
      <c r="G48" s="5" t="s">
        <v>25</v>
      </c>
      <c r="H48" s="5" t="s">
        <v>295</v>
      </c>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8" t="s">
        <v>472</v>
      </c>
      <c r="AT48" s="8" t="s">
        <v>472</v>
      </c>
      <c r="AU48" s="5"/>
      <c r="AV48" s="5"/>
      <c r="AW48" s="5"/>
      <c r="AX48" s="5"/>
    </row>
    <row r="49" spans="1:50" ht="16" x14ac:dyDescent="0.2">
      <c r="A49" s="5" t="s">
        <v>296</v>
      </c>
      <c r="B49" s="5" t="s">
        <v>298</v>
      </c>
      <c r="C49" s="5" t="s">
        <v>31</v>
      </c>
      <c r="D49" s="7">
        <v>46188</v>
      </c>
      <c r="E49" s="7">
        <v>46189</v>
      </c>
      <c r="F49" s="5">
        <v>2</v>
      </c>
      <c r="G49" s="5" t="s">
        <v>25</v>
      </c>
      <c r="H49" s="5" t="s">
        <v>301</v>
      </c>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8" t="s">
        <v>472</v>
      </c>
      <c r="AS49" s="8" t="s">
        <v>472</v>
      </c>
      <c r="AT49" s="5"/>
      <c r="AU49" s="5"/>
      <c r="AV49" s="5"/>
      <c r="AW49" s="5"/>
      <c r="AX49" s="5"/>
    </row>
    <row r="50" spans="1:50" ht="16" x14ac:dyDescent="0.2">
      <c r="A50" s="5" t="s">
        <v>302</v>
      </c>
      <c r="B50" s="5" t="s">
        <v>303</v>
      </c>
      <c r="C50" s="5" t="s">
        <v>31</v>
      </c>
      <c r="D50" s="7">
        <v>46189</v>
      </c>
      <c r="E50" s="7">
        <v>46190</v>
      </c>
      <c r="F50" s="5">
        <v>2</v>
      </c>
      <c r="G50" s="5" t="s">
        <v>25</v>
      </c>
      <c r="H50" s="5" t="s">
        <v>271</v>
      </c>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8" t="s">
        <v>472</v>
      </c>
      <c r="AT50" s="8" t="s">
        <v>472</v>
      </c>
      <c r="AU50" s="5"/>
      <c r="AV50" s="5"/>
      <c r="AW50" s="5"/>
      <c r="AX50" s="5"/>
    </row>
    <row r="51" spans="1:50" ht="16" x14ac:dyDescent="0.2">
      <c r="A51" s="5" t="s">
        <v>306</v>
      </c>
      <c r="B51" s="5" t="s">
        <v>308</v>
      </c>
      <c r="C51" s="5" t="s">
        <v>31</v>
      </c>
      <c r="D51" s="7">
        <v>46190</v>
      </c>
      <c r="E51" s="7">
        <v>46191</v>
      </c>
      <c r="F51" s="5">
        <v>2</v>
      </c>
      <c r="G51" s="5" t="s">
        <v>25</v>
      </c>
      <c r="H51" s="5" t="s">
        <v>205</v>
      </c>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8" t="s">
        <v>472</v>
      </c>
      <c r="AU51" s="8" t="s">
        <v>472</v>
      </c>
      <c r="AV51" s="5"/>
      <c r="AW51" s="5"/>
      <c r="AX51" s="5"/>
    </row>
    <row r="52" spans="1:50" ht="16" x14ac:dyDescent="0.2">
      <c r="A52" s="5" t="s">
        <v>311</v>
      </c>
      <c r="B52" s="5" t="s">
        <v>312</v>
      </c>
      <c r="C52" s="5" t="s">
        <v>31</v>
      </c>
      <c r="D52" s="7">
        <v>46191</v>
      </c>
      <c r="E52" s="7">
        <v>46191</v>
      </c>
      <c r="F52" s="5">
        <v>1</v>
      </c>
      <c r="G52" s="5" t="s">
        <v>25</v>
      </c>
      <c r="H52" s="5" t="s">
        <v>315</v>
      </c>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8" t="s">
        <v>472</v>
      </c>
      <c r="AV52" s="5"/>
      <c r="AW52" s="5"/>
      <c r="AX52" s="5"/>
    </row>
    <row r="53" spans="1:50" ht="16" x14ac:dyDescent="0.2">
      <c r="A53" s="5" t="s">
        <v>316</v>
      </c>
      <c r="B53" s="5" t="s">
        <v>318</v>
      </c>
      <c r="C53" s="5" t="s">
        <v>32</v>
      </c>
      <c r="D53" s="7">
        <v>46193</v>
      </c>
      <c r="E53" s="7">
        <v>46194</v>
      </c>
      <c r="F53" s="5">
        <v>2</v>
      </c>
      <c r="G53" s="5" t="s">
        <v>25</v>
      </c>
      <c r="H53" s="5" t="s">
        <v>321</v>
      </c>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8" t="s">
        <v>472</v>
      </c>
      <c r="AX53" s="8" t="s">
        <v>472</v>
      </c>
    </row>
    <row r="54" spans="1:50" ht="16" x14ac:dyDescent="0.2">
      <c r="A54" s="5" t="s">
        <v>323</v>
      </c>
      <c r="B54" s="5" t="s">
        <v>324</v>
      </c>
      <c r="C54" s="5" t="s">
        <v>32</v>
      </c>
      <c r="D54" s="7">
        <v>46194</v>
      </c>
      <c r="E54" s="7">
        <v>46195</v>
      </c>
      <c r="F54" s="5">
        <v>2</v>
      </c>
      <c r="G54" s="5" t="s">
        <v>25</v>
      </c>
      <c r="H54" s="5" t="s">
        <v>316</v>
      </c>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8" t="s">
        <v>472</v>
      </c>
    </row>
    <row r="55" spans="1:50" ht="32" x14ac:dyDescent="0.2">
      <c r="A55" s="5" t="s">
        <v>328</v>
      </c>
      <c r="B55" s="5" t="s">
        <v>329</v>
      </c>
      <c r="C55" s="5" t="s">
        <v>32</v>
      </c>
      <c r="D55" s="7">
        <v>46195</v>
      </c>
      <c r="E55" s="7">
        <v>46196</v>
      </c>
      <c r="F55" s="5">
        <v>2</v>
      </c>
      <c r="G55" s="5" t="s">
        <v>25</v>
      </c>
      <c r="H55" s="5" t="s">
        <v>332</v>
      </c>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row>
    <row r="56" spans="1:50" ht="16" x14ac:dyDescent="0.2">
      <c r="A56" s="5" t="s">
        <v>334</v>
      </c>
      <c r="B56" s="5" t="s">
        <v>336</v>
      </c>
      <c r="C56" s="5" t="s">
        <v>32</v>
      </c>
      <c r="D56" s="7">
        <v>46196</v>
      </c>
      <c r="E56" s="7">
        <v>46197</v>
      </c>
      <c r="F56" s="5">
        <v>2</v>
      </c>
      <c r="G56" s="5" t="s">
        <v>25</v>
      </c>
      <c r="H56" s="5" t="s">
        <v>340</v>
      </c>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row>
    <row r="57" spans="1:50" ht="16" x14ac:dyDescent="0.2">
      <c r="A57" s="5" t="s">
        <v>341</v>
      </c>
      <c r="B57" s="5" t="s">
        <v>342</v>
      </c>
      <c r="C57" s="5" t="s">
        <v>32</v>
      </c>
      <c r="D57" s="7">
        <v>46197</v>
      </c>
      <c r="E57" s="7">
        <v>46198</v>
      </c>
      <c r="F57" s="5">
        <v>2</v>
      </c>
      <c r="G57" s="5" t="s">
        <v>25</v>
      </c>
      <c r="H57" s="5" t="s">
        <v>345</v>
      </c>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row>
    <row r="58" spans="1:50" ht="16" x14ac:dyDescent="0.2">
      <c r="A58" s="5" t="s">
        <v>346</v>
      </c>
      <c r="B58" s="5" t="s">
        <v>347</v>
      </c>
      <c r="C58" s="5" t="s">
        <v>32</v>
      </c>
      <c r="D58" s="7">
        <v>46198</v>
      </c>
      <c r="E58" s="7">
        <v>46199</v>
      </c>
      <c r="F58" s="5">
        <v>2</v>
      </c>
      <c r="G58" s="5" t="s">
        <v>25</v>
      </c>
      <c r="H58" s="5" t="s">
        <v>350</v>
      </c>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row>
    <row r="59" spans="1:50" ht="16" x14ac:dyDescent="0.2">
      <c r="A59" s="5" t="s">
        <v>351</v>
      </c>
      <c r="B59" s="5" t="s">
        <v>352</v>
      </c>
      <c r="C59" s="5" t="s">
        <v>32</v>
      </c>
      <c r="D59" s="7">
        <v>46199</v>
      </c>
      <c r="E59" s="7">
        <v>46200</v>
      </c>
      <c r="F59" s="5">
        <v>2</v>
      </c>
      <c r="G59" s="5" t="s">
        <v>25</v>
      </c>
      <c r="H59" s="5" t="s">
        <v>355</v>
      </c>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row>
    <row r="60" spans="1:50" ht="16" x14ac:dyDescent="0.2">
      <c r="A60" s="5" t="s">
        <v>357</v>
      </c>
      <c r="B60" s="5" t="s">
        <v>359</v>
      </c>
      <c r="C60" s="5" t="s">
        <v>33</v>
      </c>
      <c r="D60" s="7">
        <v>46201</v>
      </c>
      <c r="E60" s="7">
        <v>46202</v>
      </c>
      <c r="F60" s="5">
        <v>2</v>
      </c>
      <c r="G60" s="5" t="s">
        <v>25</v>
      </c>
      <c r="H60" s="5" t="s">
        <v>362</v>
      </c>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row>
    <row r="61" spans="1:50" ht="16" x14ac:dyDescent="0.2">
      <c r="A61" s="5" t="s">
        <v>364</v>
      </c>
      <c r="B61" s="5" t="s">
        <v>365</v>
      </c>
      <c r="C61" s="5" t="s">
        <v>33</v>
      </c>
      <c r="D61" s="7">
        <v>46202</v>
      </c>
      <c r="E61" s="7">
        <v>46202</v>
      </c>
      <c r="F61" s="5">
        <v>1</v>
      </c>
      <c r="G61" s="5" t="s">
        <v>25</v>
      </c>
      <c r="H61" s="5" t="s">
        <v>357</v>
      </c>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row>
    <row r="62" spans="1:50" ht="16" x14ac:dyDescent="0.2">
      <c r="A62" s="5" t="s">
        <v>369</v>
      </c>
      <c r="B62" s="5" t="s">
        <v>370</v>
      </c>
      <c r="C62" s="5" t="s">
        <v>33</v>
      </c>
      <c r="D62" s="7">
        <v>46202</v>
      </c>
      <c r="E62" s="7">
        <v>46203</v>
      </c>
      <c r="F62" s="5">
        <v>2</v>
      </c>
      <c r="G62" s="5" t="s">
        <v>25</v>
      </c>
      <c r="H62" s="5" t="s">
        <v>357</v>
      </c>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row>
    <row r="63" spans="1:50" ht="16" x14ac:dyDescent="0.2">
      <c r="A63" s="5" t="s">
        <v>373</v>
      </c>
      <c r="B63" s="5" t="s">
        <v>374</v>
      </c>
      <c r="C63" s="5" t="s">
        <v>33</v>
      </c>
      <c r="D63" s="7">
        <v>46203</v>
      </c>
      <c r="E63" s="7">
        <v>46204</v>
      </c>
      <c r="F63" s="5">
        <v>2</v>
      </c>
      <c r="G63" s="5" t="s">
        <v>25</v>
      </c>
      <c r="H63" s="5" t="s">
        <v>377</v>
      </c>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row>
    <row r="64" spans="1:50" ht="16" x14ac:dyDescent="0.2">
      <c r="A64" s="5" t="s">
        <v>379</v>
      </c>
      <c r="B64" s="5" t="s">
        <v>380</v>
      </c>
      <c r="C64" s="5" t="s">
        <v>33</v>
      </c>
      <c r="D64" s="7">
        <v>46205</v>
      </c>
      <c r="E64" s="7">
        <v>46205</v>
      </c>
      <c r="F64" s="5">
        <v>1</v>
      </c>
      <c r="G64" s="5" t="s">
        <v>25</v>
      </c>
      <c r="H64" s="5" t="s">
        <v>383</v>
      </c>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row>
    <row r="65" spans="1:50" ht="16" x14ac:dyDescent="0.2">
      <c r="A65" s="5" t="s">
        <v>385</v>
      </c>
      <c r="B65" s="5" t="s">
        <v>387</v>
      </c>
      <c r="C65" s="5" t="s">
        <v>33</v>
      </c>
      <c r="D65" s="7">
        <v>46206</v>
      </c>
      <c r="E65" s="7">
        <v>46206</v>
      </c>
      <c r="F65" s="5">
        <v>1</v>
      </c>
      <c r="G65" s="5" t="s">
        <v>25</v>
      </c>
      <c r="H65" s="5" t="s">
        <v>391</v>
      </c>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row>
    <row r="66" spans="1:50" ht="16" x14ac:dyDescent="0.2">
      <c r="A66" s="5" t="s">
        <v>393</v>
      </c>
      <c r="B66" s="5" t="s">
        <v>394</v>
      </c>
      <c r="C66" s="5" t="s">
        <v>33</v>
      </c>
      <c r="D66" s="7">
        <v>46206</v>
      </c>
      <c r="E66" s="7">
        <v>46207</v>
      </c>
      <c r="F66" s="5">
        <v>2</v>
      </c>
      <c r="G66" s="5" t="s">
        <v>25</v>
      </c>
      <c r="H66" s="5" t="s">
        <v>385</v>
      </c>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row>
    <row r="67" spans="1:50" ht="16" x14ac:dyDescent="0.2">
      <c r="A67" s="5" t="s">
        <v>398</v>
      </c>
      <c r="B67" s="5" t="s">
        <v>400</v>
      </c>
      <c r="C67" s="5" t="s">
        <v>34</v>
      </c>
      <c r="D67" s="7">
        <v>46208</v>
      </c>
      <c r="E67" s="7">
        <v>46209</v>
      </c>
      <c r="F67" s="5">
        <v>2</v>
      </c>
      <c r="G67" s="5" t="s">
        <v>25</v>
      </c>
      <c r="H67" s="5" t="s">
        <v>385</v>
      </c>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row>
    <row r="68" spans="1:50" ht="16" x14ac:dyDescent="0.2">
      <c r="A68" s="5" t="s">
        <v>404</v>
      </c>
      <c r="B68" s="5" t="s">
        <v>405</v>
      </c>
      <c r="C68" s="5" t="s">
        <v>34</v>
      </c>
      <c r="D68" s="7">
        <v>46210</v>
      </c>
      <c r="E68" s="7">
        <v>46211</v>
      </c>
      <c r="F68" s="5">
        <v>2</v>
      </c>
      <c r="G68" s="5" t="s">
        <v>25</v>
      </c>
      <c r="H68" s="5" t="s">
        <v>398</v>
      </c>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row>
    <row r="69" spans="1:50" ht="16" x14ac:dyDescent="0.2">
      <c r="A69" s="5" t="s">
        <v>409</v>
      </c>
      <c r="B69" s="5" t="s">
        <v>410</v>
      </c>
      <c r="C69" s="5" t="s">
        <v>34</v>
      </c>
      <c r="D69" s="7">
        <v>46212</v>
      </c>
      <c r="E69" s="7">
        <v>46213</v>
      </c>
      <c r="F69" s="5">
        <v>2</v>
      </c>
      <c r="G69" s="5" t="s">
        <v>25</v>
      </c>
      <c r="H69" s="5" t="s">
        <v>413</v>
      </c>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row>
    <row r="70" spans="1:50" ht="16" x14ac:dyDescent="0.2">
      <c r="A70" s="5" t="s">
        <v>414</v>
      </c>
      <c r="B70" s="5" t="s">
        <v>416</v>
      </c>
      <c r="C70" s="5" t="s">
        <v>34</v>
      </c>
      <c r="D70" s="7">
        <v>46214</v>
      </c>
      <c r="E70" s="7">
        <v>46216</v>
      </c>
      <c r="F70" s="5">
        <v>3</v>
      </c>
      <c r="G70" s="5" t="s">
        <v>25</v>
      </c>
      <c r="H70" s="5" t="s">
        <v>420</v>
      </c>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row>
    <row r="71" spans="1:50" ht="16" x14ac:dyDescent="0.2">
      <c r="A71" s="5" t="s">
        <v>421</v>
      </c>
      <c r="B71" s="5" t="s">
        <v>422</v>
      </c>
      <c r="C71" s="5" t="s">
        <v>34</v>
      </c>
      <c r="D71" s="7">
        <v>46215</v>
      </c>
      <c r="E71" s="7">
        <v>46216</v>
      </c>
      <c r="F71" s="5">
        <v>2</v>
      </c>
      <c r="G71" s="5" t="s">
        <v>25</v>
      </c>
      <c r="H71" s="5" t="s">
        <v>425</v>
      </c>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row>
  </sheetData>
  <autoFilter ref="A1:AX71" xr:uid="{00000000-0009-0000-0000-000004000000}"/>
  <conditionalFormatting sqref="G2:G71">
    <cfRule type="expression" dxfId="19" priority="1">
      <formula>$G2="Done"</formula>
    </cfRule>
    <cfRule type="expression" dxfId="18" priority="2">
      <formula>$G2="In Progress"</formula>
    </cfRule>
    <cfRule type="expression" dxfId="17" priority="3">
      <formula>$G2="Blocked"</formula>
    </cfRule>
    <cfRule type="expression" dxfId="16" priority="4">
      <formula>$G2="Review"</formula>
    </cfRule>
    <cfRule type="expression" dxfId="15" priority="5">
      <formula>$G2="Todo"</formula>
    </cfRule>
  </conditionalFormatting>
  <dataValidations count="1">
    <dataValidation type="list" allowBlank="1" sqref="G2:G71" xr:uid="{00000000-0002-0000-0400-000000000000}">
      <formula1>"Todo,In Progress,Blocked,Review,Done"</formula1>
    </dataValidation>
  </dataValidations>
  <pageMargins left="0.75" right="0.75" top="1" bottom="1" header="0.5" footer="0.5"/>
  <pageSetup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71"/>
  <sheetViews>
    <sheetView showGridLines="0" workbookViewId="0">
      <pane ySplit="1" topLeftCell="A2" activePane="bottomLeft" state="frozen"/>
      <selection pane="bottomLeft" activeCell="K15" sqref="K15"/>
    </sheetView>
  </sheetViews>
  <sheetFormatPr baseColWidth="10" defaultColWidth="8.83203125" defaultRowHeight="15" x14ac:dyDescent="0.2"/>
  <cols>
    <col min="1" max="1" width="12" customWidth="1"/>
    <col min="2" max="2" width="35" customWidth="1"/>
    <col min="3" max="3" width="28" customWidth="1"/>
    <col min="4" max="4" width="45" customWidth="1"/>
    <col min="5" max="5" width="16" customWidth="1"/>
    <col min="6" max="6" width="24" customWidth="1"/>
  </cols>
  <sheetData>
    <row r="1" spans="1:6" ht="16" x14ac:dyDescent="0.2">
      <c r="A1" s="4" t="s">
        <v>35</v>
      </c>
      <c r="B1" s="4" t="s">
        <v>473</v>
      </c>
      <c r="C1" s="4" t="s">
        <v>474</v>
      </c>
      <c r="D1" s="4" t="s">
        <v>475</v>
      </c>
      <c r="E1" s="4" t="s">
        <v>476</v>
      </c>
      <c r="F1" s="4" t="s">
        <v>477</v>
      </c>
    </row>
    <row r="2" spans="1:6" ht="16" x14ac:dyDescent="0.2">
      <c r="A2" s="5" t="s">
        <v>49</v>
      </c>
      <c r="B2" s="5" t="s">
        <v>51</v>
      </c>
      <c r="C2" s="5"/>
      <c r="D2" s="5" t="s">
        <v>478</v>
      </c>
      <c r="E2" s="5" t="s">
        <v>417</v>
      </c>
      <c r="F2" s="5" t="s">
        <v>13</v>
      </c>
    </row>
    <row r="3" spans="1:6" ht="16" x14ac:dyDescent="0.2">
      <c r="A3" s="5" t="s">
        <v>57</v>
      </c>
      <c r="B3" s="5" t="s">
        <v>58</v>
      </c>
      <c r="C3" s="5" t="s">
        <v>49</v>
      </c>
      <c r="D3" s="5" t="s">
        <v>479</v>
      </c>
      <c r="E3" s="5" t="s">
        <v>168</v>
      </c>
      <c r="F3" s="5" t="s">
        <v>13</v>
      </c>
    </row>
    <row r="4" spans="1:6" ht="16" x14ac:dyDescent="0.2">
      <c r="A4" s="5" t="s">
        <v>60</v>
      </c>
      <c r="B4" s="5" t="s">
        <v>61</v>
      </c>
      <c r="C4" s="5" t="s">
        <v>49</v>
      </c>
      <c r="D4" s="5" t="s">
        <v>479</v>
      </c>
      <c r="E4" s="5" t="s">
        <v>168</v>
      </c>
      <c r="F4" s="5" t="s">
        <v>13</v>
      </c>
    </row>
    <row r="5" spans="1:6" ht="16" x14ac:dyDescent="0.2">
      <c r="A5" s="5" t="s">
        <v>65</v>
      </c>
      <c r="B5" s="5" t="s">
        <v>66</v>
      </c>
      <c r="C5" s="5" t="s">
        <v>70</v>
      </c>
      <c r="D5" s="5" t="s">
        <v>479</v>
      </c>
      <c r="E5" s="5" t="s">
        <v>168</v>
      </c>
      <c r="F5" s="5" t="str">
        <f>IF(COUNTA(C2)=0,"Ready","Check dependency status")</f>
        <v>Ready</v>
      </c>
    </row>
    <row r="6" spans="1:6" ht="16" x14ac:dyDescent="0.2">
      <c r="A6" s="5" t="s">
        <v>71</v>
      </c>
      <c r="B6" s="5" t="s">
        <v>72</v>
      </c>
      <c r="C6" s="5" t="s">
        <v>70</v>
      </c>
      <c r="D6" s="5" t="s">
        <v>479</v>
      </c>
      <c r="E6" s="5" t="s">
        <v>168</v>
      </c>
      <c r="F6" s="5" t="str">
        <f>IF(COUNTA(C2)=0,"Ready","Check dependency status")</f>
        <v>Ready</v>
      </c>
    </row>
    <row r="7" spans="1:6" ht="16" x14ac:dyDescent="0.2">
      <c r="A7" s="5" t="s">
        <v>75</v>
      </c>
      <c r="B7" s="5" t="s">
        <v>77</v>
      </c>
      <c r="C7" s="5" t="s">
        <v>65</v>
      </c>
      <c r="D7" s="5" t="s">
        <v>479</v>
      </c>
      <c r="E7" s="5" t="s">
        <v>168</v>
      </c>
      <c r="F7" s="5" t="str">
        <f>IF(COUNTA(C2)=0,"Ready","Check dependency status")</f>
        <v>Ready</v>
      </c>
    </row>
    <row r="8" spans="1:6" ht="16" x14ac:dyDescent="0.2">
      <c r="A8" s="5" t="s">
        <v>82</v>
      </c>
      <c r="B8" s="5" t="s">
        <v>83</v>
      </c>
      <c r="C8" s="5" t="s">
        <v>75</v>
      </c>
      <c r="D8" s="5" t="s">
        <v>479</v>
      </c>
      <c r="E8" s="5" t="s">
        <v>168</v>
      </c>
      <c r="F8" s="5" t="str">
        <f>IF(COUNTA(C2)=0,"Ready","Check dependency status")</f>
        <v>Ready</v>
      </c>
    </row>
    <row r="9" spans="1:6" ht="16" x14ac:dyDescent="0.2">
      <c r="A9" s="5" t="s">
        <v>87</v>
      </c>
      <c r="B9" s="5" t="s">
        <v>89</v>
      </c>
      <c r="C9" s="5" t="s">
        <v>60</v>
      </c>
      <c r="D9" s="5" t="s">
        <v>479</v>
      </c>
      <c r="E9" s="5" t="s">
        <v>168</v>
      </c>
      <c r="F9" s="5" t="str">
        <f>IF(COUNTA(C2)=0,"Ready","Check dependency status")</f>
        <v>Ready</v>
      </c>
    </row>
    <row r="10" spans="1:6" ht="16" x14ac:dyDescent="0.2">
      <c r="A10" s="5" t="s">
        <v>92</v>
      </c>
      <c r="B10" s="5" t="s">
        <v>93</v>
      </c>
      <c r="C10" s="5" t="s">
        <v>57</v>
      </c>
      <c r="D10" s="5" t="s">
        <v>479</v>
      </c>
      <c r="E10" s="5" t="s">
        <v>168</v>
      </c>
      <c r="F10" s="5" t="str">
        <f>IF(COUNTA(C2)=0,"Ready","Check dependency status")</f>
        <v>Ready</v>
      </c>
    </row>
    <row r="11" spans="1:6" ht="16" x14ac:dyDescent="0.2">
      <c r="A11" s="5" t="s">
        <v>96</v>
      </c>
      <c r="B11" s="5" t="s">
        <v>98</v>
      </c>
      <c r="C11" s="5" t="s">
        <v>82</v>
      </c>
      <c r="D11" s="5" t="s">
        <v>479</v>
      </c>
      <c r="E11" s="5" t="s">
        <v>168</v>
      </c>
      <c r="F11" s="5" t="str">
        <f>IF(COUNTA(C2)=0,"Ready","Check dependency status")</f>
        <v>Ready</v>
      </c>
    </row>
    <row r="12" spans="1:6" ht="16" x14ac:dyDescent="0.2">
      <c r="A12" s="5" t="s">
        <v>102</v>
      </c>
      <c r="B12" s="5" t="s">
        <v>103</v>
      </c>
      <c r="C12" s="5" t="s">
        <v>96</v>
      </c>
      <c r="D12" s="5" t="s">
        <v>479</v>
      </c>
      <c r="E12" s="5" t="s">
        <v>168</v>
      </c>
      <c r="F12" s="5" t="str">
        <f>IF(COUNTA(C2)=0,"Ready","Check dependency status")</f>
        <v>Ready</v>
      </c>
    </row>
    <row r="13" spans="1:6" ht="16" x14ac:dyDescent="0.2">
      <c r="A13" s="5" t="s">
        <v>107</v>
      </c>
      <c r="B13" s="5" t="s">
        <v>108</v>
      </c>
      <c r="C13" s="5" t="s">
        <v>96</v>
      </c>
      <c r="D13" s="5" t="s">
        <v>479</v>
      </c>
      <c r="E13" s="5" t="s">
        <v>168</v>
      </c>
      <c r="F13" s="5" t="str">
        <f>IF(COUNTA(C2)=0,"Ready","Check dependency status")</f>
        <v>Ready</v>
      </c>
    </row>
    <row r="14" spans="1:6" ht="16" x14ac:dyDescent="0.2">
      <c r="A14" s="5" t="s">
        <v>112</v>
      </c>
      <c r="B14" s="5" t="s">
        <v>113</v>
      </c>
      <c r="C14" s="5" t="s">
        <v>102</v>
      </c>
      <c r="D14" s="5" t="s">
        <v>479</v>
      </c>
      <c r="E14" s="5" t="s">
        <v>168</v>
      </c>
      <c r="F14" s="5" t="str">
        <f>IF(COUNTA(C2)=0,"Ready","Check dependency status")</f>
        <v>Ready</v>
      </c>
    </row>
    <row r="15" spans="1:6" ht="32" x14ac:dyDescent="0.2">
      <c r="A15" s="5" t="s">
        <v>117</v>
      </c>
      <c r="B15" s="5" t="s">
        <v>119</v>
      </c>
      <c r="C15" s="5" t="s">
        <v>123</v>
      </c>
      <c r="D15" s="5" t="s">
        <v>479</v>
      </c>
      <c r="E15" s="5" t="s">
        <v>168</v>
      </c>
      <c r="F15" s="5" t="str">
        <f>IF(COUNTA(C2)=0,"Ready","Check dependency status")</f>
        <v>Ready</v>
      </c>
    </row>
    <row r="16" spans="1:6" ht="16" x14ac:dyDescent="0.2">
      <c r="A16" s="5" t="s">
        <v>125</v>
      </c>
      <c r="B16" s="5" t="s">
        <v>126</v>
      </c>
      <c r="C16" s="5" t="s">
        <v>129</v>
      </c>
      <c r="D16" s="5" t="s">
        <v>479</v>
      </c>
      <c r="E16" s="5" t="s">
        <v>168</v>
      </c>
      <c r="F16" s="5" t="str">
        <f>IF(COUNTA(C2)=0,"Ready","Check dependency status")</f>
        <v>Ready</v>
      </c>
    </row>
    <row r="17" spans="1:6" ht="16" x14ac:dyDescent="0.2">
      <c r="A17" s="5" t="s">
        <v>130</v>
      </c>
      <c r="B17" s="5" t="s">
        <v>131</v>
      </c>
      <c r="C17" s="5" t="s">
        <v>134</v>
      </c>
      <c r="D17" s="5" t="s">
        <v>479</v>
      </c>
      <c r="E17" s="5" t="s">
        <v>168</v>
      </c>
      <c r="F17" s="5" t="str">
        <f>IF(COUNTA(C2)=0,"Ready","Check dependency status")</f>
        <v>Ready</v>
      </c>
    </row>
    <row r="18" spans="1:6" ht="16" x14ac:dyDescent="0.2">
      <c r="A18" s="5" t="s">
        <v>135</v>
      </c>
      <c r="B18" s="5" t="s">
        <v>137</v>
      </c>
      <c r="C18" s="5" t="s">
        <v>140</v>
      </c>
      <c r="D18" s="5" t="s">
        <v>479</v>
      </c>
      <c r="E18" s="5" t="s">
        <v>168</v>
      </c>
      <c r="F18" s="5" t="str">
        <f>IF(COUNTA(C2)=0,"Ready","Check dependency status")</f>
        <v>Ready</v>
      </c>
    </row>
    <row r="19" spans="1:6" ht="16" x14ac:dyDescent="0.2">
      <c r="A19" s="5" t="s">
        <v>141</v>
      </c>
      <c r="B19" s="5" t="s">
        <v>143</v>
      </c>
      <c r="C19" s="5" t="s">
        <v>130</v>
      </c>
      <c r="D19" s="5" t="s">
        <v>479</v>
      </c>
      <c r="E19" s="5" t="s">
        <v>168</v>
      </c>
      <c r="F19" s="5" t="str">
        <f>IF(COUNTA(C2)=0,"Ready","Check dependency status")</f>
        <v>Ready</v>
      </c>
    </row>
    <row r="20" spans="1:6" ht="16" x14ac:dyDescent="0.2">
      <c r="A20" s="5" t="s">
        <v>146</v>
      </c>
      <c r="B20" s="5" t="s">
        <v>148</v>
      </c>
      <c r="C20" s="5" t="s">
        <v>117</v>
      </c>
      <c r="D20" s="5" t="s">
        <v>479</v>
      </c>
      <c r="E20" s="5" t="s">
        <v>168</v>
      </c>
      <c r="F20" s="5" t="str">
        <f>IF(COUNTA(C2)=0,"Ready","Check dependency status")</f>
        <v>Ready</v>
      </c>
    </row>
    <row r="21" spans="1:6" ht="16" x14ac:dyDescent="0.2">
      <c r="A21" s="5" t="s">
        <v>152</v>
      </c>
      <c r="B21" s="5" t="s">
        <v>153</v>
      </c>
      <c r="C21" s="5" t="s">
        <v>156</v>
      </c>
      <c r="D21" s="5" t="s">
        <v>479</v>
      </c>
      <c r="E21" s="5" t="s">
        <v>168</v>
      </c>
      <c r="F21" s="5" t="str">
        <f>IF(COUNTA(C2)=0,"Ready","Check dependency status")</f>
        <v>Ready</v>
      </c>
    </row>
    <row r="22" spans="1:6" ht="16" x14ac:dyDescent="0.2">
      <c r="A22" s="5" t="s">
        <v>157</v>
      </c>
      <c r="B22" s="5" t="s">
        <v>158</v>
      </c>
      <c r="C22" s="5" t="s">
        <v>152</v>
      </c>
      <c r="D22" s="5" t="s">
        <v>479</v>
      </c>
      <c r="E22" s="5" t="s">
        <v>168</v>
      </c>
      <c r="F22" s="5" t="str">
        <f>IF(COUNTA(C2)=0,"Ready","Check dependency status")</f>
        <v>Ready</v>
      </c>
    </row>
    <row r="23" spans="1:6" ht="16" x14ac:dyDescent="0.2">
      <c r="A23" s="5" t="s">
        <v>161</v>
      </c>
      <c r="B23" s="5" t="s">
        <v>163</v>
      </c>
      <c r="C23" s="5" t="s">
        <v>141</v>
      </c>
      <c r="D23" s="5" t="s">
        <v>479</v>
      </c>
      <c r="E23" s="5" t="s">
        <v>168</v>
      </c>
      <c r="F23" s="5" t="str">
        <f>IF(COUNTA(C2)=0,"Ready","Check dependency status")</f>
        <v>Ready</v>
      </c>
    </row>
    <row r="24" spans="1:6" ht="16" x14ac:dyDescent="0.2">
      <c r="A24" s="5" t="s">
        <v>166</v>
      </c>
      <c r="B24" s="5" t="s">
        <v>167</v>
      </c>
      <c r="C24" s="5" t="s">
        <v>171</v>
      </c>
      <c r="D24" s="5" t="s">
        <v>479</v>
      </c>
      <c r="E24" s="5" t="s">
        <v>168</v>
      </c>
      <c r="F24" s="5" t="str">
        <f>IF(COUNTA(C2)=0,"Ready","Check dependency status")</f>
        <v>Ready</v>
      </c>
    </row>
    <row r="25" spans="1:6" ht="16" x14ac:dyDescent="0.2">
      <c r="A25" s="5" t="s">
        <v>172</v>
      </c>
      <c r="B25" s="5" t="s">
        <v>174</v>
      </c>
      <c r="C25" s="5" t="s">
        <v>135</v>
      </c>
      <c r="D25" s="5" t="s">
        <v>479</v>
      </c>
      <c r="E25" s="5" t="s">
        <v>168</v>
      </c>
      <c r="F25" s="5" t="str">
        <f>IF(COUNTA(C2)=0,"Ready","Check dependency status")</f>
        <v>Ready</v>
      </c>
    </row>
    <row r="26" spans="1:6" ht="16" x14ac:dyDescent="0.2">
      <c r="A26" s="5" t="s">
        <v>177</v>
      </c>
      <c r="B26" s="5" t="s">
        <v>179</v>
      </c>
      <c r="C26" s="5" t="s">
        <v>183</v>
      </c>
      <c r="D26" s="5" t="s">
        <v>479</v>
      </c>
      <c r="E26" s="5" t="s">
        <v>168</v>
      </c>
      <c r="F26" s="5" t="str">
        <f>IF(COUNTA(C2)=0,"Ready","Check dependency status")</f>
        <v>Ready</v>
      </c>
    </row>
    <row r="27" spans="1:6" ht="16" x14ac:dyDescent="0.2">
      <c r="A27" s="5" t="s">
        <v>184</v>
      </c>
      <c r="B27" s="5" t="s">
        <v>186</v>
      </c>
      <c r="C27" s="5" t="s">
        <v>117</v>
      </c>
      <c r="D27" s="5" t="s">
        <v>479</v>
      </c>
      <c r="E27" s="5" t="s">
        <v>168</v>
      </c>
      <c r="F27" s="5" t="str">
        <f>IF(COUNTA(C2)=0,"Ready","Check dependency status")</f>
        <v>Ready</v>
      </c>
    </row>
    <row r="28" spans="1:6" ht="16" x14ac:dyDescent="0.2">
      <c r="A28" s="5" t="s">
        <v>190</v>
      </c>
      <c r="B28" s="5" t="s">
        <v>191</v>
      </c>
      <c r="C28" s="5" t="s">
        <v>184</v>
      </c>
      <c r="D28" s="5" t="s">
        <v>479</v>
      </c>
      <c r="E28" s="5" t="s">
        <v>168</v>
      </c>
      <c r="F28" s="5" t="str">
        <f>IF(COUNTA(C2)=0,"Ready","Check dependency status")</f>
        <v>Ready</v>
      </c>
    </row>
    <row r="29" spans="1:6" ht="16" x14ac:dyDescent="0.2">
      <c r="A29" s="5" t="s">
        <v>195</v>
      </c>
      <c r="B29" s="5" t="s">
        <v>197</v>
      </c>
      <c r="C29" s="5" t="s">
        <v>184</v>
      </c>
      <c r="D29" s="5" t="s">
        <v>479</v>
      </c>
      <c r="E29" s="5" t="s">
        <v>168</v>
      </c>
      <c r="F29" s="5" t="str">
        <f>IF(COUNTA(C2)=0,"Ready","Check dependency status")</f>
        <v>Ready</v>
      </c>
    </row>
    <row r="30" spans="1:6" ht="16" x14ac:dyDescent="0.2">
      <c r="A30" s="5" t="s">
        <v>200</v>
      </c>
      <c r="B30" s="5" t="s">
        <v>201</v>
      </c>
      <c r="C30" s="5" t="s">
        <v>204</v>
      </c>
      <c r="D30" s="5" t="s">
        <v>479</v>
      </c>
      <c r="E30" s="5" t="s">
        <v>168</v>
      </c>
      <c r="F30" s="5" t="str">
        <f>IF(COUNTA(C2)=0,"Ready","Check dependency status")</f>
        <v>Ready</v>
      </c>
    </row>
    <row r="31" spans="1:6" ht="16" x14ac:dyDescent="0.2">
      <c r="A31" s="5" t="s">
        <v>205</v>
      </c>
      <c r="B31" s="5" t="s">
        <v>206</v>
      </c>
      <c r="C31" s="5" t="s">
        <v>200</v>
      </c>
      <c r="D31" s="5" t="s">
        <v>479</v>
      </c>
      <c r="E31" s="5" t="s">
        <v>168</v>
      </c>
      <c r="F31" s="5" t="str">
        <f>IF(COUNTA(C2)=0,"Ready","Check dependency status")</f>
        <v>Ready</v>
      </c>
    </row>
    <row r="32" spans="1:6" ht="16" x14ac:dyDescent="0.2">
      <c r="A32" s="5" t="s">
        <v>209</v>
      </c>
      <c r="B32" s="5" t="s">
        <v>210</v>
      </c>
      <c r="C32" s="5" t="s">
        <v>205</v>
      </c>
      <c r="D32" s="5" t="s">
        <v>479</v>
      </c>
      <c r="E32" s="5" t="s">
        <v>168</v>
      </c>
      <c r="F32" s="5" t="str">
        <f>IF(COUNTA(C2)=0,"Ready","Check dependency status")</f>
        <v>Ready</v>
      </c>
    </row>
    <row r="33" spans="1:6" ht="16" x14ac:dyDescent="0.2">
      <c r="A33" s="5" t="s">
        <v>213</v>
      </c>
      <c r="B33" s="5" t="s">
        <v>214</v>
      </c>
      <c r="C33" s="5" t="s">
        <v>217</v>
      </c>
      <c r="D33" s="5" t="s">
        <v>479</v>
      </c>
      <c r="E33" s="5" t="s">
        <v>168</v>
      </c>
      <c r="F33" s="5" t="str">
        <f>IF(COUNTA(C2)=0,"Ready","Check dependency status")</f>
        <v>Ready</v>
      </c>
    </row>
    <row r="34" spans="1:6" ht="16" x14ac:dyDescent="0.2">
      <c r="A34" s="5" t="s">
        <v>218</v>
      </c>
      <c r="B34" s="5" t="s">
        <v>220</v>
      </c>
      <c r="C34" s="5" t="s">
        <v>223</v>
      </c>
      <c r="D34" s="5" t="s">
        <v>479</v>
      </c>
      <c r="E34" s="5" t="s">
        <v>168</v>
      </c>
      <c r="F34" s="5" t="str">
        <f>IF(COUNTA(C2)=0,"Ready","Check dependency status")</f>
        <v>Ready</v>
      </c>
    </row>
    <row r="35" spans="1:6" ht="16" x14ac:dyDescent="0.2">
      <c r="A35" s="5" t="s">
        <v>224</v>
      </c>
      <c r="B35" s="5" t="s">
        <v>225</v>
      </c>
      <c r="C35" s="5" t="s">
        <v>228</v>
      </c>
      <c r="D35" s="5" t="s">
        <v>479</v>
      </c>
      <c r="E35" s="5" t="s">
        <v>168</v>
      </c>
      <c r="F35" s="5" t="str">
        <f>IF(COUNTA(C2)=0,"Ready","Check dependency status")</f>
        <v>Ready</v>
      </c>
    </row>
    <row r="36" spans="1:6" ht="16" x14ac:dyDescent="0.2">
      <c r="A36" s="5" t="s">
        <v>229</v>
      </c>
      <c r="B36" s="5" t="s">
        <v>230</v>
      </c>
      <c r="C36" s="5" t="s">
        <v>233</v>
      </c>
      <c r="D36" s="5" t="s">
        <v>479</v>
      </c>
      <c r="E36" s="5" t="s">
        <v>168</v>
      </c>
      <c r="F36" s="5" t="str">
        <f>IF(COUNTA(C2)=0,"Ready","Check dependency status")</f>
        <v>Ready</v>
      </c>
    </row>
    <row r="37" spans="1:6" ht="16" x14ac:dyDescent="0.2">
      <c r="A37" s="5" t="s">
        <v>234</v>
      </c>
      <c r="B37" s="5" t="s">
        <v>236</v>
      </c>
      <c r="C37" s="5" t="s">
        <v>117</v>
      </c>
      <c r="D37" s="5" t="s">
        <v>479</v>
      </c>
      <c r="E37" s="5" t="s">
        <v>168</v>
      </c>
      <c r="F37" s="5" t="str">
        <f>IF(COUNTA(C2)=0,"Ready","Check dependency status")</f>
        <v>Ready</v>
      </c>
    </row>
    <row r="38" spans="1:6" ht="16" x14ac:dyDescent="0.2">
      <c r="A38" s="5" t="s">
        <v>240</v>
      </c>
      <c r="B38" s="5" t="s">
        <v>242</v>
      </c>
      <c r="C38" s="5" t="s">
        <v>245</v>
      </c>
      <c r="D38" s="5" t="s">
        <v>479</v>
      </c>
      <c r="E38" s="5" t="s">
        <v>168</v>
      </c>
      <c r="F38" s="5" t="str">
        <f>IF(COUNTA(C2)=0,"Ready","Check dependency status")</f>
        <v>Ready</v>
      </c>
    </row>
    <row r="39" spans="1:6" ht="16" x14ac:dyDescent="0.2">
      <c r="A39" s="5" t="s">
        <v>246</v>
      </c>
      <c r="B39" s="5" t="s">
        <v>247</v>
      </c>
      <c r="C39" s="5" t="s">
        <v>240</v>
      </c>
      <c r="D39" s="5" t="s">
        <v>479</v>
      </c>
      <c r="E39" s="5" t="s">
        <v>168</v>
      </c>
      <c r="F39" s="5" t="str">
        <f>IF(COUNTA(C2)=0,"Ready","Check dependency status")</f>
        <v>Ready</v>
      </c>
    </row>
    <row r="40" spans="1:6" ht="16" x14ac:dyDescent="0.2">
      <c r="A40" s="5" t="s">
        <v>250</v>
      </c>
      <c r="B40" s="5" t="s">
        <v>252</v>
      </c>
      <c r="C40" s="5" t="s">
        <v>240</v>
      </c>
      <c r="D40" s="5" t="s">
        <v>479</v>
      </c>
      <c r="E40" s="5" t="s">
        <v>168</v>
      </c>
      <c r="F40" s="5" t="str">
        <f>IF(COUNTA(C2)=0,"Ready","Check dependency status")</f>
        <v>Ready</v>
      </c>
    </row>
    <row r="41" spans="1:6" ht="16" x14ac:dyDescent="0.2">
      <c r="A41" s="5" t="s">
        <v>255</v>
      </c>
      <c r="B41" s="5" t="s">
        <v>257</v>
      </c>
      <c r="C41" s="5" t="s">
        <v>260</v>
      </c>
      <c r="D41" s="5" t="s">
        <v>479</v>
      </c>
      <c r="E41" s="5" t="s">
        <v>168</v>
      </c>
      <c r="F41" s="5" t="str">
        <f>IF(COUNTA(C2)=0,"Ready","Check dependency status")</f>
        <v>Ready</v>
      </c>
    </row>
    <row r="42" spans="1:6" ht="16" x14ac:dyDescent="0.2">
      <c r="A42" s="5" t="s">
        <v>262</v>
      </c>
      <c r="B42" s="5" t="s">
        <v>263</v>
      </c>
      <c r="C42" s="5" t="s">
        <v>255</v>
      </c>
      <c r="D42" s="5" t="s">
        <v>479</v>
      </c>
      <c r="E42" s="5" t="s">
        <v>168</v>
      </c>
      <c r="F42" s="5" t="str">
        <f>IF(COUNTA(C2)=0,"Ready","Check dependency status")</f>
        <v>Ready</v>
      </c>
    </row>
    <row r="43" spans="1:6" ht="16" x14ac:dyDescent="0.2">
      <c r="A43" s="5" t="s">
        <v>266</v>
      </c>
      <c r="B43" s="5" t="s">
        <v>267</v>
      </c>
      <c r="C43" s="5" t="s">
        <v>270</v>
      </c>
      <c r="D43" s="5" t="s">
        <v>479</v>
      </c>
      <c r="E43" s="5" t="s">
        <v>168</v>
      </c>
      <c r="F43" s="5" t="str">
        <f>IF(COUNTA(C2)=0,"Ready","Check dependency status")</f>
        <v>Ready</v>
      </c>
    </row>
    <row r="44" spans="1:6" ht="16" x14ac:dyDescent="0.2">
      <c r="A44" s="5" t="s">
        <v>271</v>
      </c>
      <c r="B44" s="5" t="s">
        <v>272</v>
      </c>
      <c r="C44" s="5" t="s">
        <v>275</v>
      </c>
      <c r="D44" s="5" t="s">
        <v>479</v>
      </c>
      <c r="E44" s="5" t="s">
        <v>168</v>
      </c>
      <c r="F44" s="5" t="str">
        <f>IF(COUNTA(C2)=0,"Ready","Check dependency status")</f>
        <v>Ready</v>
      </c>
    </row>
    <row r="45" spans="1:6" ht="16" x14ac:dyDescent="0.2">
      <c r="A45" s="5" t="s">
        <v>276</v>
      </c>
      <c r="B45" s="5" t="s">
        <v>278</v>
      </c>
      <c r="C45" s="5" t="s">
        <v>117</v>
      </c>
      <c r="D45" s="5" t="s">
        <v>479</v>
      </c>
      <c r="E45" s="5" t="s">
        <v>168</v>
      </c>
      <c r="F45" s="5" t="str">
        <f>IF(COUNTA(C2)=0,"Ready","Check dependency status")</f>
        <v>Ready</v>
      </c>
    </row>
    <row r="46" spans="1:6" ht="16" x14ac:dyDescent="0.2">
      <c r="A46" s="5" t="s">
        <v>282</v>
      </c>
      <c r="B46" s="5" t="s">
        <v>283</v>
      </c>
      <c r="C46" s="5" t="s">
        <v>286</v>
      </c>
      <c r="D46" s="5" t="s">
        <v>479</v>
      </c>
      <c r="E46" s="5" t="s">
        <v>168</v>
      </c>
      <c r="F46" s="5" t="str">
        <f>IF(COUNTA(C2)=0,"Ready","Check dependency status")</f>
        <v>Ready</v>
      </c>
    </row>
    <row r="47" spans="1:6" ht="16" x14ac:dyDescent="0.2">
      <c r="A47" s="5" t="s">
        <v>287</v>
      </c>
      <c r="B47" s="5" t="s">
        <v>288</v>
      </c>
      <c r="C47" s="5" t="s">
        <v>282</v>
      </c>
      <c r="D47" s="5" t="s">
        <v>479</v>
      </c>
      <c r="E47" s="5" t="s">
        <v>168</v>
      </c>
      <c r="F47" s="5" t="str">
        <f>IF(COUNTA(C2)=0,"Ready","Check dependency status")</f>
        <v>Ready</v>
      </c>
    </row>
    <row r="48" spans="1:6" ht="16" x14ac:dyDescent="0.2">
      <c r="A48" s="5" t="s">
        <v>291</v>
      </c>
      <c r="B48" s="5" t="s">
        <v>292</v>
      </c>
      <c r="C48" s="5" t="s">
        <v>295</v>
      </c>
      <c r="D48" s="5" t="s">
        <v>479</v>
      </c>
      <c r="E48" s="5" t="s">
        <v>168</v>
      </c>
      <c r="F48" s="5" t="str">
        <f>IF(COUNTA(C2)=0,"Ready","Check dependency status")</f>
        <v>Ready</v>
      </c>
    </row>
    <row r="49" spans="1:6" ht="16" x14ac:dyDescent="0.2">
      <c r="A49" s="5" t="s">
        <v>296</v>
      </c>
      <c r="B49" s="5" t="s">
        <v>298</v>
      </c>
      <c r="C49" s="5" t="s">
        <v>301</v>
      </c>
      <c r="D49" s="5" t="s">
        <v>479</v>
      </c>
      <c r="E49" s="5" t="s">
        <v>168</v>
      </c>
      <c r="F49" s="5" t="str">
        <f>IF(COUNTA(C2)=0,"Ready","Check dependency status")</f>
        <v>Ready</v>
      </c>
    </row>
    <row r="50" spans="1:6" ht="16" x14ac:dyDescent="0.2">
      <c r="A50" s="5" t="s">
        <v>302</v>
      </c>
      <c r="B50" s="5" t="s">
        <v>303</v>
      </c>
      <c r="C50" s="5" t="s">
        <v>271</v>
      </c>
      <c r="D50" s="5" t="s">
        <v>479</v>
      </c>
      <c r="E50" s="5" t="s">
        <v>168</v>
      </c>
      <c r="F50" s="5" t="str">
        <f>IF(COUNTA(C2)=0,"Ready","Check dependency status")</f>
        <v>Ready</v>
      </c>
    </row>
    <row r="51" spans="1:6" ht="16" x14ac:dyDescent="0.2">
      <c r="A51" s="5" t="s">
        <v>306</v>
      </c>
      <c r="B51" s="5" t="s">
        <v>308</v>
      </c>
      <c r="C51" s="5" t="s">
        <v>205</v>
      </c>
      <c r="D51" s="5" t="s">
        <v>479</v>
      </c>
      <c r="E51" s="5" t="s">
        <v>168</v>
      </c>
      <c r="F51" s="5" t="str">
        <f>IF(COUNTA(C2)=0,"Ready","Check dependency status")</f>
        <v>Ready</v>
      </c>
    </row>
    <row r="52" spans="1:6" ht="16" x14ac:dyDescent="0.2">
      <c r="A52" s="5" t="s">
        <v>311</v>
      </c>
      <c r="B52" s="5" t="s">
        <v>312</v>
      </c>
      <c r="C52" s="5" t="s">
        <v>315</v>
      </c>
      <c r="D52" s="5" t="s">
        <v>479</v>
      </c>
      <c r="E52" s="5" t="s">
        <v>168</v>
      </c>
      <c r="F52" s="5" t="str">
        <f>IF(COUNTA(C2)=0,"Ready","Check dependency status")</f>
        <v>Ready</v>
      </c>
    </row>
    <row r="53" spans="1:6" ht="16" x14ac:dyDescent="0.2">
      <c r="A53" s="5" t="s">
        <v>316</v>
      </c>
      <c r="B53" s="5" t="s">
        <v>318</v>
      </c>
      <c r="C53" s="5" t="s">
        <v>321</v>
      </c>
      <c r="D53" s="5" t="s">
        <v>479</v>
      </c>
      <c r="E53" s="5" t="s">
        <v>168</v>
      </c>
      <c r="F53" s="5" t="str">
        <f>IF(COUNTA(C2)=0,"Ready","Check dependency status")</f>
        <v>Ready</v>
      </c>
    </row>
    <row r="54" spans="1:6" ht="16" x14ac:dyDescent="0.2">
      <c r="A54" s="5" t="s">
        <v>323</v>
      </c>
      <c r="B54" s="5" t="s">
        <v>324</v>
      </c>
      <c r="C54" s="5" t="s">
        <v>316</v>
      </c>
      <c r="D54" s="5" t="s">
        <v>479</v>
      </c>
      <c r="E54" s="5" t="s">
        <v>168</v>
      </c>
      <c r="F54" s="5" t="str">
        <f>IF(COUNTA(C2)=0,"Ready","Check dependency status")</f>
        <v>Ready</v>
      </c>
    </row>
    <row r="55" spans="1:6" ht="32" x14ac:dyDescent="0.2">
      <c r="A55" s="5" t="s">
        <v>328</v>
      </c>
      <c r="B55" s="5" t="s">
        <v>329</v>
      </c>
      <c r="C55" s="5" t="s">
        <v>332</v>
      </c>
      <c r="D55" s="5" t="s">
        <v>479</v>
      </c>
      <c r="E55" s="5" t="s">
        <v>168</v>
      </c>
      <c r="F55" s="5" t="str">
        <f>IF(COUNTA(C2)=0,"Ready","Check dependency status")</f>
        <v>Ready</v>
      </c>
    </row>
    <row r="56" spans="1:6" ht="16" x14ac:dyDescent="0.2">
      <c r="A56" s="5" t="s">
        <v>334</v>
      </c>
      <c r="B56" s="5" t="s">
        <v>336</v>
      </c>
      <c r="C56" s="5" t="s">
        <v>340</v>
      </c>
      <c r="D56" s="5" t="s">
        <v>479</v>
      </c>
      <c r="E56" s="5" t="s">
        <v>168</v>
      </c>
      <c r="F56" s="5" t="str">
        <f>IF(COUNTA(C2)=0,"Ready","Check dependency status")</f>
        <v>Ready</v>
      </c>
    </row>
    <row r="57" spans="1:6" ht="16" x14ac:dyDescent="0.2">
      <c r="A57" s="5" t="s">
        <v>341</v>
      </c>
      <c r="B57" s="5" t="s">
        <v>342</v>
      </c>
      <c r="C57" s="5" t="s">
        <v>345</v>
      </c>
      <c r="D57" s="5" t="s">
        <v>479</v>
      </c>
      <c r="E57" s="5" t="s">
        <v>168</v>
      </c>
      <c r="F57" s="5" t="str">
        <f>IF(COUNTA(C2)=0,"Ready","Check dependency status")</f>
        <v>Ready</v>
      </c>
    </row>
    <row r="58" spans="1:6" ht="16" x14ac:dyDescent="0.2">
      <c r="A58" s="5" t="s">
        <v>346</v>
      </c>
      <c r="B58" s="5" t="s">
        <v>347</v>
      </c>
      <c r="C58" s="5" t="s">
        <v>350</v>
      </c>
      <c r="D58" s="5" t="s">
        <v>479</v>
      </c>
      <c r="E58" s="5" t="s">
        <v>168</v>
      </c>
      <c r="F58" s="5" t="str">
        <f>IF(COUNTA(C2)=0,"Ready","Check dependency status")</f>
        <v>Ready</v>
      </c>
    </row>
    <row r="59" spans="1:6" ht="16" x14ac:dyDescent="0.2">
      <c r="A59" s="5" t="s">
        <v>351</v>
      </c>
      <c r="B59" s="5" t="s">
        <v>352</v>
      </c>
      <c r="C59" s="5" t="s">
        <v>355</v>
      </c>
      <c r="D59" s="5" t="s">
        <v>479</v>
      </c>
      <c r="E59" s="5" t="s">
        <v>168</v>
      </c>
      <c r="F59" s="5" t="str">
        <f>IF(COUNTA(C2)=0,"Ready","Check dependency status")</f>
        <v>Ready</v>
      </c>
    </row>
    <row r="60" spans="1:6" ht="16" x14ac:dyDescent="0.2">
      <c r="A60" s="5" t="s">
        <v>357</v>
      </c>
      <c r="B60" s="5" t="s">
        <v>359</v>
      </c>
      <c r="C60" s="5" t="s">
        <v>362</v>
      </c>
      <c r="D60" s="5" t="s">
        <v>479</v>
      </c>
      <c r="E60" s="5" t="s">
        <v>168</v>
      </c>
      <c r="F60" s="5" t="str">
        <f>IF(COUNTA(C2)=0,"Ready","Check dependency status")</f>
        <v>Ready</v>
      </c>
    </row>
    <row r="61" spans="1:6" ht="16" x14ac:dyDescent="0.2">
      <c r="A61" s="5" t="s">
        <v>364</v>
      </c>
      <c r="B61" s="5" t="s">
        <v>365</v>
      </c>
      <c r="C61" s="5" t="s">
        <v>357</v>
      </c>
      <c r="D61" s="5" t="s">
        <v>479</v>
      </c>
      <c r="E61" s="5" t="s">
        <v>168</v>
      </c>
      <c r="F61" s="5" t="str">
        <f>IF(COUNTA(C2)=0,"Ready","Check dependency status")</f>
        <v>Ready</v>
      </c>
    </row>
    <row r="62" spans="1:6" ht="16" x14ac:dyDescent="0.2">
      <c r="A62" s="5" t="s">
        <v>369</v>
      </c>
      <c r="B62" s="5" t="s">
        <v>370</v>
      </c>
      <c r="C62" s="5" t="s">
        <v>357</v>
      </c>
      <c r="D62" s="5" t="s">
        <v>479</v>
      </c>
      <c r="E62" s="5" t="s">
        <v>168</v>
      </c>
      <c r="F62" s="5" t="str">
        <f>IF(COUNTA(C2)=0,"Ready","Check dependency status")</f>
        <v>Ready</v>
      </c>
    </row>
    <row r="63" spans="1:6" ht="16" x14ac:dyDescent="0.2">
      <c r="A63" s="5" t="s">
        <v>373</v>
      </c>
      <c r="B63" s="5" t="s">
        <v>374</v>
      </c>
      <c r="C63" s="5" t="s">
        <v>377</v>
      </c>
      <c r="D63" s="5" t="s">
        <v>479</v>
      </c>
      <c r="E63" s="5" t="s">
        <v>168</v>
      </c>
      <c r="F63" s="5" t="str">
        <f>IF(COUNTA(C2)=0,"Ready","Check dependency status")</f>
        <v>Ready</v>
      </c>
    </row>
    <row r="64" spans="1:6" ht="16" x14ac:dyDescent="0.2">
      <c r="A64" s="5" t="s">
        <v>379</v>
      </c>
      <c r="B64" s="5" t="s">
        <v>380</v>
      </c>
      <c r="C64" s="5" t="s">
        <v>383</v>
      </c>
      <c r="D64" s="5" t="s">
        <v>479</v>
      </c>
      <c r="E64" s="5" t="s">
        <v>168</v>
      </c>
      <c r="F64" s="5" t="str">
        <f>IF(COUNTA(C2)=0,"Ready","Check dependency status")</f>
        <v>Ready</v>
      </c>
    </row>
    <row r="65" spans="1:6" ht="16" x14ac:dyDescent="0.2">
      <c r="A65" s="5" t="s">
        <v>385</v>
      </c>
      <c r="B65" s="5" t="s">
        <v>387</v>
      </c>
      <c r="C65" s="5" t="s">
        <v>391</v>
      </c>
      <c r="D65" s="5" t="s">
        <v>479</v>
      </c>
      <c r="E65" s="5" t="s">
        <v>168</v>
      </c>
      <c r="F65" s="5" t="str">
        <f>IF(COUNTA(C2)=0,"Ready","Check dependency status")</f>
        <v>Ready</v>
      </c>
    </row>
    <row r="66" spans="1:6" ht="16" x14ac:dyDescent="0.2">
      <c r="A66" s="5" t="s">
        <v>393</v>
      </c>
      <c r="B66" s="5" t="s">
        <v>394</v>
      </c>
      <c r="C66" s="5" t="s">
        <v>385</v>
      </c>
      <c r="D66" s="5" t="s">
        <v>479</v>
      </c>
      <c r="E66" s="5" t="s">
        <v>168</v>
      </c>
      <c r="F66" s="5" t="str">
        <f>IF(COUNTA(C2)=0,"Ready","Check dependency status")</f>
        <v>Ready</v>
      </c>
    </row>
    <row r="67" spans="1:6" ht="16" x14ac:dyDescent="0.2">
      <c r="A67" s="5" t="s">
        <v>398</v>
      </c>
      <c r="B67" s="5" t="s">
        <v>400</v>
      </c>
      <c r="C67" s="5" t="s">
        <v>385</v>
      </c>
      <c r="D67" s="5" t="s">
        <v>479</v>
      </c>
      <c r="E67" s="5" t="s">
        <v>168</v>
      </c>
      <c r="F67" s="5" t="str">
        <f>IF(COUNTA(C2)=0,"Ready","Check dependency status")</f>
        <v>Ready</v>
      </c>
    </row>
    <row r="68" spans="1:6" ht="16" x14ac:dyDescent="0.2">
      <c r="A68" s="5" t="s">
        <v>404</v>
      </c>
      <c r="B68" s="5" t="s">
        <v>405</v>
      </c>
      <c r="C68" s="5" t="s">
        <v>398</v>
      </c>
      <c r="D68" s="5" t="s">
        <v>479</v>
      </c>
      <c r="E68" s="5" t="s">
        <v>168</v>
      </c>
      <c r="F68" s="5" t="str">
        <f>IF(COUNTA(C2)=0,"Ready","Check dependency status")</f>
        <v>Ready</v>
      </c>
    </row>
    <row r="69" spans="1:6" ht="16" x14ac:dyDescent="0.2">
      <c r="A69" s="5" t="s">
        <v>409</v>
      </c>
      <c r="B69" s="5" t="s">
        <v>410</v>
      </c>
      <c r="C69" s="5" t="s">
        <v>413</v>
      </c>
      <c r="D69" s="5" t="s">
        <v>479</v>
      </c>
      <c r="E69" s="5" t="s">
        <v>168</v>
      </c>
      <c r="F69" s="5" t="str">
        <f>IF(COUNTA(C2)=0,"Ready","Check dependency status")</f>
        <v>Ready</v>
      </c>
    </row>
    <row r="70" spans="1:6" ht="16" x14ac:dyDescent="0.2">
      <c r="A70" s="5" t="s">
        <v>414</v>
      </c>
      <c r="B70" s="5" t="s">
        <v>416</v>
      </c>
      <c r="C70" s="5" t="s">
        <v>420</v>
      </c>
      <c r="D70" s="5" t="s">
        <v>479</v>
      </c>
      <c r="E70" s="5" t="s">
        <v>168</v>
      </c>
      <c r="F70" s="5" t="str">
        <f>IF(COUNTA(C2)=0,"Ready","Check dependency status")</f>
        <v>Ready</v>
      </c>
    </row>
    <row r="71" spans="1:6" ht="16" x14ac:dyDescent="0.2">
      <c r="A71" s="5" t="s">
        <v>421</v>
      </c>
      <c r="B71" s="5" t="s">
        <v>422</v>
      </c>
      <c r="C71" s="5" t="s">
        <v>425</v>
      </c>
      <c r="D71" s="5" t="s">
        <v>479</v>
      </c>
      <c r="E71" s="5" t="s">
        <v>168</v>
      </c>
      <c r="F71" s="5" t="str">
        <f>IF(COUNTA(C2)=0,"Ready","Check dependency status")</f>
        <v>Ready</v>
      </c>
    </row>
  </sheetData>
  <autoFilter ref="A1:F71" xr:uid="{00000000-0009-0000-0000-000005000000}"/>
  <pageMargins left="0.75" right="0.75" top="1" bottom="1" header="0.5" footer="0.5"/>
  <pageSetup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50"/>
  <sheetViews>
    <sheetView showGridLines="0" workbookViewId="0">
      <pane ySplit="1" topLeftCell="A26" activePane="bottomLeft" state="frozen"/>
      <selection pane="bottomLeft" activeCell="K38" sqref="K38"/>
    </sheetView>
  </sheetViews>
  <sheetFormatPr baseColWidth="10" defaultColWidth="8.83203125" defaultRowHeight="15" x14ac:dyDescent="0.2"/>
  <cols>
    <col min="1" max="2" width="12" customWidth="1"/>
    <col min="3" max="3" width="18" customWidth="1"/>
    <col min="4" max="4" width="45" customWidth="1"/>
    <col min="5" max="5" width="38" customWidth="1"/>
    <col min="6" max="6" width="55" customWidth="1"/>
    <col min="7" max="7" width="18" customWidth="1"/>
    <col min="8" max="8" width="45" customWidth="1"/>
    <col min="9" max="9" width="14" customWidth="1"/>
  </cols>
  <sheetData>
    <row r="1" spans="1:9" ht="16" x14ac:dyDescent="0.2">
      <c r="A1" s="4" t="s">
        <v>480</v>
      </c>
      <c r="B1" s="4" t="s">
        <v>481</v>
      </c>
      <c r="C1" s="4" t="s">
        <v>482</v>
      </c>
      <c r="D1" s="4" t="s">
        <v>483</v>
      </c>
      <c r="E1" s="4" t="s">
        <v>484</v>
      </c>
      <c r="F1" s="4" t="s">
        <v>485</v>
      </c>
      <c r="G1" s="4" t="s">
        <v>486</v>
      </c>
      <c r="H1" s="4" t="s">
        <v>41</v>
      </c>
      <c r="I1" s="4" t="s">
        <v>22</v>
      </c>
    </row>
    <row r="2" spans="1:9" ht="144" x14ac:dyDescent="0.2">
      <c r="A2" s="5" t="s">
        <v>487</v>
      </c>
      <c r="B2" s="5" t="s">
        <v>64</v>
      </c>
      <c r="C2" s="5" t="s">
        <v>488</v>
      </c>
      <c r="D2" s="5" t="s">
        <v>1026</v>
      </c>
      <c r="E2" s="5" t="s">
        <v>1027</v>
      </c>
      <c r="F2" s="5" t="s">
        <v>1028</v>
      </c>
      <c r="G2" s="5" t="s">
        <v>65</v>
      </c>
      <c r="H2" s="5" t="s">
        <v>1029</v>
      </c>
      <c r="I2" s="5" t="s">
        <v>13</v>
      </c>
    </row>
    <row r="3" spans="1:9" ht="32" x14ac:dyDescent="0.2">
      <c r="A3" s="5" t="s">
        <v>489</v>
      </c>
      <c r="B3" s="5" t="s">
        <v>64</v>
      </c>
      <c r="C3" s="5" t="s">
        <v>490</v>
      </c>
      <c r="D3" s="5" t="s">
        <v>970</v>
      </c>
      <c r="E3" s="5" t="s">
        <v>491</v>
      </c>
      <c r="F3" s="5" t="s">
        <v>492</v>
      </c>
      <c r="G3" s="5" t="s">
        <v>87</v>
      </c>
      <c r="H3" s="5" t="s">
        <v>493</v>
      </c>
      <c r="I3" s="5" t="s">
        <v>13</v>
      </c>
    </row>
    <row r="4" spans="1:9" ht="16" x14ac:dyDescent="0.2">
      <c r="A4" s="5" t="s">
        <v>494</v>
      </c>
      <c r="B4" s="5" t="s">
        <v>64</v>
      </c>
      <c r="C4" s="5" t="s">
        <v>490</v>
      </c>
      <c r="D4" s="5" t="s">
        <v>971</v>
      </c>
      <c r="E4" s="5" t="s">
        <v>495</v>
      </c>
      <c r="F4" s="5" t="s">
        <v>496</v>
      </c>
      <c r="G4" s="5" t="s">
        <v>87</v>
      </c>
      <c r="H4" s="5" t="s">
        <v>497</v>
      </c>
      <c r="I4" s="5" t="s">
        <v>13</v>
      </c>
    </row>
    <row r="5" spans="1:9" ht="409.6" x14ac:dyDescent="0.2">
      <c r="A5" s="5" t="inlineStr">
        <is>
          <t>CODE-048</t>
        </is>
      </c>
      <c r="B5" s="5" t="inlineStr">
        <is>
          <t>Backend</t>
        </is>
      </c>
      <c r="C5" s="5" t="inlineStr">
        <is>
          <t>auth / supabase</t>
        </is>
      </c>
      <c r="D5" s="5" t="inlineStr">
        <is>
          <t>apps/api/src/common/supabase/supabase.constants.ts; apps/api/src/common/supabase/supabase.provider.ts; apps/api/src/common/supabase/supabase.module.ts; apps/api/src/common/supabase/supabase.provider.spec.ts; apps/api/src/modules/auth/auth.types.ts; apps/api/src/modules/auth/dto/auth-response.dto.ts; apps/api/src/modules/auth/dto/register.dto.ts; apps/api/src/modules/auth/auth.module.ts; apps/api/package.json; ././pnpm-lock.yaml</t>
        </is>
      </c>
      <c r="E5" s="5" t="inlineStr">
        <is>
          <t>Create authentication integration foundation</t>
        </is>
      </c>
      <c r="F5" s="5" t="inlineStr">
        <is>
          <t>Install and configure @supabase/supabase-js and pg for the NestJS API. Create
separate injectable Supabase public and admin clients. The public client uses
SUPABASE_URL and SUPABASE_ANON_KEY. The admin client uses SUPABASE_URL and
SUPABASE_SERVICE_ROLE_KEY and must remain server-only.
Read configuration only through ConfigService. Never return, log, serialize, or
otherwise expose the service-role key.
Define the approved authentication response contract:
- session is either null or an object containing accessToken, refreshToken,
  expiresIn, expiresAt, and tokenType.
- requiresEmailConfirmation is boolean.
- user contains id, email, tenantId, role, fullName, and phone.
Update RegisterDto so registration accepts only email, password, companyName,
fullName, and phone. Remove the client-supplied role field. LoginDto remains
email and password.
Register the providers and authentication types through AuthModule. Add focused
unit tests for provider construction, configuration validation, response
mapping types, and secret boundaries.
Do not implement registration orchestration, login behavior, controllers,
database writes, JWT validation, guards, frontend changes, or hosted calls.</t>
        </is>
      </c>
      <c r="G5" s="5" t="inlineStr">
        <is>
          <t>IAM-015,IAM-016</t>
        </is>
      </c>
      <c r="H5" s="5" t="inlineStr">
        <is>
          <t>The API package contains @supabase/supabase-js, pg, and required type
dependencies. Injectable public and admin Supabase clients are available through
Nest dependency injection. The public client uses only the anonymous key and the
admin client uses the server-only service-role key.
RegisterDto accepts email, password, companyName, fullName, and phone and no
longer accepts role. Auth response DTOs represent the approved nullable-session,
requiresEmailConfirmation, and user-context contract.
Configuration is loaded through ConfigService. No secret value is printed,
returned, committed, or exposed to frontend code. Unit tests pass. No Auth user,
tenant, app-user, session, controller, RLS policy, frontend, or hosted-project
operation is created.</t>
        </is>
      </c>
      <c r="I5" s="5" t="inlineStr">
        <is>
          <t>Todo</t>
        </is>
      </c>
    </row>
    <row r="6" spans="1:9" ht="409.6" x14ac:dyDescent="0.2">
      <c r="A6" s="5" t="inlineStr">
        <is>
          <t>CODE-005</t>
        </is>
      </c>
      <c r="B6" s="5" t="inlineStr">
        <is>
          <t>Backend</t>
        </is>
      </c>
      <c r="C6" s="5" t="inlineStr">
        <is>
          <t>auth</t>
        </is>
      </c>
      <c r="D6" s="5" t="inlineStr">
        <is>
          <t>apps/api/src/modules/auth/auth.service.ts; apps/api/src/modules/auth/auth.repository.ts; apps/api/src/modules/auth/auth.service.spec.ts; apps/api/src/modules/auth/auth.repository.spec.ts</t>
        </is>
      </c>
      <c r="E6" s="5" t="inlineStr">
        <is>
          <t>Implement company registration orchestration</t>
        </is>
      </c>
      <c r="F6" s="5" t="inlineStr">
        <is>
          <t>Implement the registration service using the injectable Supabase clients and a
PostgreSQL repository backed by pg and DATABASE_URL.
Accept RegisterDto containing email, password, companyName, fullName, and phone.
Do not accept or trust a client-supplied role. Assign admin to the first user.
Create the Supabase Auth identity through the public sign-up capability and
respect the Supabase email-confirmation setting. Then create exactly one tenant
and one app_users record in one PostgreSQL transaction. The app_users id equals
the Supabase Auth user id and references the new tenant.
If the database transaction fails after Auth creation, roll back all database
writes and attempt compensating deletion of the Auth identity through the admin
client. If compensation fails, log only the orphaned Auth user identifier and a
safe internal error; never log keys, passwords, access tokens, refresh tokens,
or provider response bodies.
Return the approved auth response. When Supabase returns no session because
email confirmation is required, return session null and
requiresEmailConfirmation true.
Map duplicate email or tenant name to 409, provider unavailability to 503, and
unexpected or failed-compensation errors to 500.
Do not create transporter_profiles, controllers, login behavior, guards, JWT
strategy code, RLS policies, frontend code, or hosted operations.</t>
        </is>
      </c>
      <c r="G6" s="5" t="inlineStr">
        <is>
          <t>IAM-015</t>
        </is>
      </c>
      <c r="H6" s="5" t="inlineStr">
        <is>
          <t>Successful registration creates exactly one Supabase Auth identity, one tenant,
and one linked app_users row with role admin. Tenant and app-user writes occur
in one PostgreSQL transaction.
The returned response follows the approved session and user-context contract.
When email confirmation is required, session is null and
requiresEmailConfirmation is true.
A database failure leaves no tenant or app_users records and triggers
compensating Auth-user deletion. Tests cover successful registration, role
derivation, duplicate email, duplicate company name, Auth failure, transaction
rollback, successful compensation, failed compensation, confirmation-required
responses, session responses, and secret-safe errors.
No transporter profile, controller, login implementation, RLS policy, frontend
file, hosted database, or hosted Auth operation is modified.</t>
        </is>
      </c>
      <c r="I6" s="5" t="inlineStr">
        <is>
          <t>Todo</t>
        </is>
      </c>
    </row>
    <row r="7" spans="1:9" ht="409.6" x14ac:dyDescent="0.2">
      <c r="A7" s="5" t="inlineStr">
        <is>
          <t>CODE-049</t>
        </is>
      </c>
      <c r="B7" s="5" t="inlineStr">
        <is>
          <t>Backend</t>
        </is>
      </c>
      <c r="C7" s="5" t="inlineStr">
        <is>
          <t>auth</t>
        </is>
      </c>
      <c r="D7" s="5" t="inlineStr">
        <is>
          <t>apps/api/src/modules/auth/auth.service.ts; apps/api/src/modules/auth/auth.repository.ts; apps/api/src/modules/auth/auth.service.spec.ts; apps/api/src/modules/auth/auth.repository.spec.ts</t>
        </is>
      </c>
      <c r="E7" s="5" t="inlineStr">
        <is>
          <t>Implement login service and user context</t>
        </is>
      </c>
      <c r="F7" s="5" t="inlineStr">
        <is>
          <t>Add login behavior to AuthService using the public Supabase client.
Authenticate email and password through Supabase Auth. For a successful session,
load the linked public.app_users record and return user context containing id,
email, tenantId, role, fullName, and phone.
Return the approved non-null session object containing accessToken,
refreshToken, expiresIn, expiresAt, and tokenType, with
requiresEmailConfirmation false.
Map invalid credentials to 401. Map a valid Auth identity without a linked
app_users profile to 403. Map Supabase availability errors to 503 and unexpected
consistency failures to a safe 500.
Never use or expose the service-role key for password authentication. Do not
implement controllers, JWT strategy, guards, refresh endpoints, logout,
frontend integration, RLS policies, or hosted operations.</t>
        </is>
      </c>
      <c r="G7" s="5" t="inlineStr">
        <is>
          <t>IAM-016</t>
        </is>
      </c>
      <c r="H7" s="5" t="inlineStr">
        <is>
          <t>Valid credentials return a Supabase session and linked app-user context
containing user id, email, tenant id, role, full name, and phone. Invalid
credentials return 401 without revealing whether the email exists.
A valid Auth identity without an app_users row returns 403. Provider
unavailability returns 503. Unexpected failures return a safe 500.
Tests cover valid login, invalid credentials, missing profile, session mapping,
tenant and role context, provider failure, and absence of secrets in responses
and logs.
No controller, JWT strategy, guard, registration side effect, frontend file,
RLS policy, hosted database, or hosted Auth project is modified.</t>
        </is>
      </c>
      <c r="I7" s="5" t="inlineStr">
        <is>
          <t>Todo</t>
        </is>
      </c>
    </row>
    <row r="8" spans="1:9" ht="288" x14ac:dyDescent="0.2">
      <c r="A8" s="5" t="inlineStr">
        <is>
          <t>CODE-004</t>
        </is>
      </c>
      <c r="B8" s="5" t="inlineStr">
        <is>
          <t>Backend</t>
        </is>
      </c>
      <c r="C8" s="5" t="inlineStr">
        <is>
          <t>auth</t>
        </is>
      </c>
      <c r="D8" s="5" t="inlineStr">
        <is>
          <t>apps/api/src/modules/auth/auth.controller.ts; apps/api/src/modules/auth/auth.controller.spec.ts</t>
        </is>
      </c>
      <c r="E8" s="5" t="inlineStr">
        <is>
          <t>Implement register and login controllers</t>
        </is>
      </c>
      <c r="F8" s="5" t="inlineStr">
        <is>
          <t>Implement thin NestJS controller endpoints backed only by AuthService.
POST /auth/register accepts RegisterDto, delegates to AuthService.register, and
returns the approved AuthResponseDto with HTTP 201.
POST /auth/login accepts LoginDto, delegates to AuthService.login, and returns
the approved AuthResponseDto with HTTP 200.
The controller must not instantiate Supabase clients, access ConfigService,
perform database queries, manage transactions, create JWTs, or expose provider
errors. Preserve Nest DTO validation and service-level safe exception mappings.
Do not modify services, repositories, Supabase providers, JWT strategy, guards,
frontend files, RLS policies, or hosted resources.</t>
        </is>
      </c>
      <c r="G8" s="5" t="inlineStr">
        <is>
          <t>IAM-015,IAM-016</t>
        </is>
      </c>
      <c r="H8" s="5" t="inlineStr">
        <is>
          <t>POST /auth/register returns HTTP 201 and the AuthService registration response.
POST /auth/login returns HTTP 200 and the AuthService login response.
Controller tests verify DTO delegation, status codes, response forwarding, and
safe propagation of documented HTTP exceptions. The controller contains no
Supabase, database, transaction, JWT-signing, or secret-handling logic.</t>
        </is>
      </c>
      <c r="I8" s="5" t="inlineStr">
        <is>
          <t>Todo</t>
        </is>
      </c>
    </row>
    <row r="9" spans="1:9" ht="16" x14ac:dyDescent="0.2">
      <c r="A9" s="5" t="s">
        <v>507</v>
      </c>
      <c r="B9" s="5" t="s">
        <v>64</v>
      </c>
      <c r="C9" s="5" t="s">
        <v>490</v>
      </c>
      <c r="D9" s="5" t="s">
        <v>974</v>
      </c>
      <c r="E9" s="5" t="s">
        <v>508</v>
      </c>
      <c r="F9" s="5" t="s">
        <v>509</v>
      </c>
      <c r="G9" s="5" t="s">
        <v>130</v>
      </c>
      <c r="H9" s="5" t="s">
        <v>510</v>
      </c>
      <c r="I9" s="5" t="s">
        <v>25</v>
      </c>
    </row>
    <row r="10" spans="1:9" ht="16" x14ac:dyDescent="0.2">
      <c r="A10" s="5" t="s">
        <v>511</v>
      </c>
      <c r="B10" s="5" t="s">
        <v>64</v>
      </c>
      <c r="C10" s="5" t="s">
        <v>512</v>
      </c>
      <c r="D10" s="5" t="s">
        <v>975</v>
      </c>
      <c r="E10" s="5" t="s">
        <v>513</v>
      </c>
      <c r="F10" s="5" t="s">
        <v>514</v>
      </c>
      <c r="G10" s="5" t="s">
        <v>141</v>
      </c>
      <c r="H10" s="5" t="s">
        <v>515</v>
      </c>
      <c r="I10" s="5" t="s">
        <v>25</v>
      </c>
    </row>
    <row r="11" spans="1:9" ht="16" x14ac:dyDescent="0.2">
      <c r="A11" s="5" t="s">
        <v>516</v>
      </c>
      <c r="B11" s="5" t="s">
        <v>64</v>
      </c>
      <c r="C11" s="5" t="s">
        <v>512</v>
      </c>
      <c r="D11" s="5" t="s">
        <v>976</v>
      </c>
      <c r="E11" s="5" t="s">
        <v>517</v>
      </c>
      <c r="F11" s="5" t="s">
        <v>518</v>
      </c>
      <c r="G11" s="5" t="s">
        <v>141</v>
      </c>
      <c r="H11" s="5" t="s">
        <v>519</v>
      </c>
      <c r="I11" s="5" t="s">
        <v>25</v>
      </c>
    </row>
    <row r="12" spans="1:9" ht="16" x14ac:dyDescent="0.2">
      <c r="A12" s="5" t="s">
        <v>520</v>
      </c>
      <c r="B12" s="5" t="s">
        <v>64</v>
      </c>
      <c r="C12" s="5" t="s">
        <v>521</v>
      </c>
      <c r="D12" s="5" t="s">
        <v>977</v>
      </c>
      <c r="E12" s="5" t="s">
        <v>522</v>
      </c>
      <c r="F12" s="5" t="s">
        <v>523</v>
      </c>
      <c r="G12" s="5" t="s">
        <v>177</v>
      </c>
      <c r="H12" s="5" t="s">
        <v>524</v>
      </c>
      <c r="I12" s="5" t="s">
        <v>25</v>
      </c>
    </row>
    <row r="13" spans="1:9" ht="16" x14ac:dyDescent="0.2">
      <c r="A13" s="5" t="s">
        <v>525</v>
      </c>
      <c r="B13" s="5" t="s">
        <v>64</v>
      </c>
      <c r="C13" s="5" t="s">
        <v>526</v>
      </c>
      <c r="D13" s="5" t="s">
        <v>978</v>
      </c>
      <c r="E13" s="5" t="s">
        <v>527</v>
      </c>
      <c r="F13" s="5" t="s">
        <v>528</v>
      </c>
      <c r="G13" s="5" t="s">
        <v>161</v>
      </c>
      <c r="H13" s="5" t="s">
        <v>529</v>
      </c>
      <c r="I13" s="5" t="s">
        <v>25</v>
      </c>
    </row>
    <row r="14" spans="1:9" ht="16" x14ac:dyDescent="0.2">
      <c r="A14" s="5" t="s">
        <v>530</v>
      </c>
      <c r="B14" s="5" t="s">
        <v>64</v>
      </c>
      <c r="C14" s="5" t="s">
        <v>526</v>
      </c>
      <c r="D14" s="5" t="s">
        <v>979</v>
      </c>
      <c r="E14" s="5" t="s">
        <v>531</v>
      </c>
      <c r="F14" s="5" t="s">
        <v>532</v>
      </c>
      <c r="G14" s="5" t="s">
        <v>161</v>
      </c>
      <c r="H14" s="5" t="s">
        <v>533</v>
      </c>
      <c r="I14" s="5" t="s">
        <v>25</v>
      </c>
    </row>
    <row r="15" spans="1:9" ht="32" x14ac:dyDescent="0.2">
      <c r="A15" s="5" t="s">
        <v>534</v>
      </c>
      <c r="B15" s="5" t="s">
        <v>64</v>
      </c>
      <c r="C15" s="5" t="s">
        <v>535</v>
      </c>
      <c r="D15" s="5" t="s">
        <v>980</v>
      </c>
      <c r="E15" s="5" t="s">
        <v>536</v>
      </c>
      <c r="F15" s="5" t="s">
        <v>537</v>
      </c>
      <c r="G15" s="5" t="s">
        <v>538</v>
      </c>
      <c r="H15" s="5" t="s">
        <v>539</v>
      </c>
      <c r="I15" s="5" t="s">
        <v>25</v>
      </c>
    </row>
    <row r="16" spans="1:9" ht="16" x14ac:dyDescent="0.2">
      <c r="A16" s="5" t="s">
        <v>540</v>
      </c>
      <c r="B16" s="5" t="s">
        <v>64</v>
      </c>
      <c r="C16" s="5" t="s">
        <v>535</v>
      </c>
      <c r="D16" s="5" t="s">
        <v>931</v>
      </c>
      <c r="E16" s="5" t="s">
        <v>541</v>
      </c>
      <c r="F16" s="5" t="s">
        <v>542</v>
      </c>
      <c r="G16" s="5" t="s">
        <v>538</v>
      </c>
      <c r="H16" s="5" t="s">
        <v>543</v>
      </c>
      <c r="I16" s="5" t="s">
        <v>25</v>
      </c>
    </row>
    <row r="17" spans="1:9" ht="16" x14ac:dyDescent="0.2">
      <c r="A17" s="5" t="s">
        <v>544</v>
      </c>
      <c r="B17" s="5" t="s">
        <v>64</v>
      </c>
      <c r="C17" s="5" t="s">
        <v>545</v>
      </c>
      <c r="D17" s="5" t="s">
        <v>981</v>
      </c>
      <c r="E17" s="5" t="s">
        <v>546</v>
      </c>
      <c r="F17" s="5" t="s">
        <v>547</v>
      </c>
      <c r="G17" s="5" t="s">
        <v>195</v>
      </c>
      <c r="H17" s="5" t="s">
        <v>548</v>
      </c>
      <c r="I17" s="5" t="s">
        <v>25</v>
      </c>
    </row>
    <row r="18" spans="1:9" ht="32" x14ac:dyDescent="0.2">
      <c r="A18" s="5" t="s">
        <v>549</v>
      </c>
      <c r="B18" s="5" t="s">
        <v>64</v>
      </c>
      <c r="C18" s="5" t="s">
        <v>545</v>
      </c>
      <c r="D18" s="5" t="s">
        <v>982</v>
      </c>
      <c r="E18" s="5" t="s">
        <v>550</v>
      </c>
      <c r="F18" s="5" t="s">
        <v>551</v>
      </c>
      <c r="G18" s="5" t="s">
        <v>552</v>
      </c>
      <c r="H18" s="5" t="s">
        <v>553</v>
      </c>
      <c r="I18" s="5" t="s">
        <v>25</v>
      </c>
    </row>
    <row r="19" spans="1:9" ht="32" x14ac:dyDescent="0.2">
      <c r="A19" s="5" t="s">
        <v>554</v>
      </c>
      <c r="B19" s="5" t="s">
        <v>64</v>
      </c>
      <c r="C19" s="5" t="s">
        <v>545</v>
      </c>
      <c r="D19" s="5" t="s">
        <v>939</v>
      </c>
      <c r="E19" s="5" t="s">
        <v>555</v>
      </c>
      <c r="F19" s="5" t="s">
        <v>556</v>
      </c>
      <c r="G19" s="5" t="s">
        <v>552</v>
      </c>
      <c r="H19" s="5" t="s">
        <v>557</v>
      </c>
      <c r="I19" s="5" t="s">
        <v>25</v>
      </c>
    </row>
    <row r="20" spans="1:9" ht="32" x14ac:dyDescent="0.2">
      <c r="A20" s="5" t="s">
        <v>558</v>
      </c>
      <c r="B20" s="5" t="s">
        <v>64</v>
      </c>
      <c r="C20" s="5" t="s">
        <v>545</v>
      </c>
      <c r="D20" s="5" t="s">
        <v>940</v>
      </c>
      <c r="E20" s="5" t="s">
        <v>559</v>
      </c>
      <c r="F20" s="5" t="s">
        <v>560</v>
      </c>
      <c r="G20" s="5" t="s">
        <v>213</v>
      </c>
      <c r="H20" s="5" t="s">
        <v>561</v>
      </c>
      <c r="I20" s="5" t="s">
        <v>25</v>
      </c>
    </row>
    <row r="21" spans="1:9" ht="16" x14ac:dyDescent="0.2">
      <c r="A21" s="5" t="s">
        <v>562</v>
      </c>
      <c r="B21" s="5" t="s">
        <v>64</v>
      </c>
      <c r="C21" s="5" t="s">
        <v>563</v>
      </c>
      <c r="D21" s="5" t="s">
        <v>983</v>
      </c>
      <c r="E21" s="5" t="s">
        <v>564</v>
      </c>
      <c r="F21" s="5" t="s">
        <v>565</v>
      </c>
      <c r="G21" s="5" t="s">
        <v>240</v>
      </c>
      <c r="H21" s="5" t="s">
        <v>566</v>
      </c>
      <c r="I21" s="5" t="s">
        <v>25</v>
      </c>
    </row>
    <row r="22" spans="1:9" ht="16" x14ac:dyDescent="0.2">
      <c r="A22" s="5" t="s">
        <v>567</v>
      </c>
      <c r="B22" s="5" t="s">
        <v>64</v>
      </c>
      <c r="C22" s="5" t="s">
        <v>563</v>
      </c>
      <c r="D22" s="5" t="s">
        <v>984</v>
      </c>
      <c r="E22" s="5" t="s">
        <v>568</v>
      </c>
      <c r="F22" s="5" t="s">
        <v>569</v>
      </c>
      <c r="G22" s="5" t="s">
        <v>240</v>
      </c>
      <c r="H22" s="5" t="s">
        <v>570</v>
      </c>
      <c r="I22" s="5" t="s">
        <v>25</v>
      </c>
    </row>
    <row r="23" spans="1:9" ht="32" x14ac:dyDescent="0.2">
      <c r="A23" s="5" t="s">
        <v>571</v>
      </c>
      <c r="B23" s="5" t="s">
        <v>64</v>
      </c>
      <c r="C23" s="5" t="s">
        <v>572</v>
      </c>
      <c r="D23" s="5" t="s">
        <v>985</v>
      </c>
      <c r="E23" s="5" t="s">
        <v>573</v>
      </c>
      <c r="F23" s="5" t="s">
        <v>574</v>
      </c>
      <c r="G23" s="5" t="s">
        <v>262</v>
      </c>
      <c r="H23" s="5" t="s">
        <v>575</v>
      </c>
      <c r="I23" s="5" t="s">
        <v>25</v>
      </c>
    </row>
    <row r="24" spans="1:9" ht="32" x14ac:dyDescent="0.2">
      <c r="A24" s="5" t="s">
        <v>576</v>
      </c>
      <c r="B24" s="5" t="s">
        <v>64</v>
      </c>
      <c r="C24" s="5" t="s">
        <v>577</v>
      </c>
      <c r="D24" s="5" t="s">
        <v>950</v>
      </c>
      <c r="E24" s="5" t="s">
        <v>578</v>
      </c>
      <c r="F24" s="5" t="s">
        <v>579</v>
      </c>
      <c r="G24" s="5" t="s">
        <v>282</v>
      </c>
      <c r="H24" s="5" t="s">
        <v>580</v>
      </c>
      <c r="I24" s="5" t="s">
        <v>25</v>
      </c>
    </row>
    <row r="25" spans="1:9" ht="112" x14ac:dyDescent="0.2">
      <c r="A25" s="5" t="s">
        <v>581</v>
      </c>
      <c r="B25" s="5" t="s">
        <v>59</v>
      </c>
      <c r="C25" s="5" t="s">
        <v>490</v>
      </c>
      <c r="D25" s="5" t="s">
        <v>986</v>
      </c>
      <c r="E25" s="5" t="s">
        <v>582</v>
      </c>
      <c r="F25" s="5" t="s">
        <v>1022</v>
      </c>
      <c r="G25" s="5" t="s">
        <v>92</v>
      </c>
      <c r="H25" s="5" t="s">
        <v>1023</v>
      </c>
      <c r="I25" s="5" t="s">
        <v>13</v>
      </c>
    </row>
    <row r="26" spans="1:9" ht="160" x14ac:dyDescent="0.2">
      <c r="A26" s="5" t="s">
        <v>584</v>
      </c>
      <c r="B26" s="5" t="s">
        <v>59</v>
      </c>
      <c r="C26" s="5" t="s">
        <v>490</v>
      </c>
      <c r="D26" s="5" t="s">
        <v>987</v>
      </c>
      <c r="E26" s="5" t="s">
        <v>585</v>
      </c>
      <c r="F26" s="5" t="s">
        <v>1024</v>
      </c>
      <c r="G26" s="5" t="s">
        <v>92</v>
      </c>
      <c r="H26" s="5" t="s">
        <v>1025</v>
      </c>
      <c r="I26" s="5" t="s">
        <v>13</v>
      </c>
    </row>
    <row r="27" spans="1:9" ht="16" x14ac:dyDescent="0.2">
      <c r="A27" s="5" t="s">
        <v>586</v>
      </c>
      <c r="B27" s="5" t="s">
        <v>59</v>
      </c>
      <c r="C27" s="5" t="s">
        <v>587</v>
      </c>
      <c r="D27" s="5" t="s">
        <v>988</v>
      </c>
      <c r="E27" s="5" t="s">
        <v>588</v>
      </c>
      <c r="F27" s="5" t="s">
        <v>589</v>
      </c>
      <c r="G27" s="5" t="s">
        <v>135</v>
      </c>
      <c r="H27" s="5" t="s">
        <v>590</v>
      </c>
      <c r="I27" s="5" t="s">
        <v>25</v>
      </c>
    </row>
    <row r="28" spans="1:9" ht="16" x14ac:dyDescent="0.2">
      <c r="A28" s="5" t="s">
        <v>591</v>
      </c>
      <c r="B28" s="5" t="s">
        <v>59</v>
      </c>
      <c r="C28" s="5" t="s">
        <v>587</v>
      </c>
      <c r="D28" s="5" t="s">
        <v>989</v>
      </c>
      <c r="E28" s="5" t="s">
        <v>592</v>
      </c>
      <c r="F28" s="5" t="s">
        <v>593</v>
      </c>
      <c r="G28" s="5" t="s">
        <v>135</v>
      </c>
      <c r="H28" s="5" t="s">
        <v>594</v>
      </c>
      <c r="I28" s="5" t="s">
        <v>25</v>
      </c>
    </row>
    <row r="29" spans="1:9" ht="16" x14ac:dyDescent="0.2">
      <c r="A29" s="5" t="s">
        <v>595</v>
      </c>
      <c r="B29" s="5" t="s">
        <v>59</v>
      </c>
      <c r="C29" s="5" t="s">
        <v>596</v>
      </c>
      <c r="D29" s="5" t="s">
        <v>990</v>
      </c>
      <c r="E29" s="5" t="s">
        <v>597</v>
      </c>
      <c r="F29" s="5" t="s">
        <v>598</v>
      </c>
      <c r="G29" s="5" t="s">
        <v>172</v>
      </c>
      <c r="H29" s="5" t="s">
        <v>599</v>
      </c>
      <c r="I29" s="5" t="s">
        <v>25</v>
      </c>
    </row>
    <row r="30" spans="1:9" ht="16" x14ac:dyDescent="0.2">
      <c r="A30" s="5" t="s">
        <v>600</v>
      </c>
      <c r="B30" s="5" t="s">
        <v>59</v>
      </c>
      <c r="C30" s="5" t="s">
        <v>596</v>
      </c>
      <c r="D30" s="5" t="s">
        <v>991</v>
      </c>
      <c r="E30" s="5" t="s">
        <v>601</v>
      </c>
      <c r="F30" s="5" t="s">
        <v>602</v>
      </c>
      <c r="G30" s="5" t="s">
        <v>603</v>
      </c>
      <c r="H30" s="5" t="s">
        <v>604</v>
      </c>
      <c r="I30" s="5" t="s">
        <v>25</v>
      </c>
    </row>
    <row r="31" spans="1:9" ht="16" x14ac:dyDescent="0.2">
      <c r="A31" s="5" t="s">
        <v>605</v>
      </c>
      <c r="B31" s="5" t="s">
        <v>59</v>
      </c>
      <c r="C31" s="5" t="s">
        <v>545</v>
      </c>
      <c r="D31" s="5" t="s">
        <v>992</v>
      </c>
      <c r="E31" s="5" t="s">
        <v>220</v>
      </c>
      <c r="F31" s="5" t="s">
        <v>606</v>
      </c>
      <c r="G31" s="5" t="s">
        <v>607</v>
      </c>
      <c r="H31" s="5" t="s">
        <v>608</v>
      </c>
      <c r="I31" s="5" t="s">
        <v>25</v>
      </c>
    </row>
    <row r="32" spans="1:9" ht="16" x14ac:dyDescent="0.2">
      <c r="A32" s="5" t="s">
        <v>609</v>
      </c>
      <c r="B32" s="5" t="s">
        <v>59</v>
      </c>
      <c r="C32" s="5" t="s">
        <v>545</v>
      </c>
      <c r="D32" s="5" t="s">
        <v>993</v>
      </c>
      <c r="E32" s="5" t="s">
        <v>225</v>
      </c>
      <c r="F32" s="5" t="s">
        <v>610</v>
      </c>
      <c r="G32" s="5" t="s">
        <v>224</v>
      </c>
      <c r="H32" s="5" t="s">
        <v>611</v>
      </c>
      <c r="I32" s="5" t="s">
        <v>25</v>
      </c>
    </row>
    <row r="33" spans="1:9" ht="16" x14ac:dyDescent="0.2">
      <c r="A33" s="5" t="s">
        <v>612</v>
      </c>
      <c r="B33" s="5" t="s">
        <v>59</v>
      </c>
      <c r="C33" s="5" t="s">
        <v>545</v>
      </c>
      <c r="D33" s="5" t="s">
        <v>994</v>
      </c>
      <c r="E33" s="5" t="s">
        <v>230</v>
      </c>
      <c r="F33" s="5" t="s">
        <v>613</v>
      </c>
      <c r="G33" s="5" t="s">
        <v>229</v>
      </c>
      <c r="H33" s="5" t="s">
        <v>614</v>
      </c>
      <c r="I33" s="5" t="s">
        <v>25</v>
      </c>
    </row>
    <row r="34" spans="1:9" ht="16" x14ac:dyDescent="0.2">
      <c r="A34" s="5" t="s">
        <v>615</v>
      </c>
      <c r="B34" s="5" t="s">
        <v>59</v>
      </c>
      <c r="C34" s="5" t="s">
        <v>545</v>
      </c>
      <c r="D34" s="5" t="s">
        <v>995</v>
      </c>
      <c r="E34" s="5" t="s">
        <v>616</v>
      </c>
      <c r="F34" s="5" t="s">
        <v>617</v>
      </c>
      <c r="G34" s="5" t="s">
        <v>266</v>
      </c>
      <c r="H34" s="5" t="s">
        <v>618</v>
      </c>
      <c r="I34" s="5" t="s">
        <v>25</v>
      </c>
    </row>
    <row r="35" spans="1:9" ht="16" x14ac:dyDescent="0.2">
      <c r="A35" s="5" t="s">
        <v>619</v>
      </c>
      <c r="B35" s="5" t="s">
        <v>59</v>
      </c>
      <c r="C35" s="5" t="s">
        <v>563</v>
      </c>
      <c r="D35" s="5" t="s">
        <v>946</v>
      </c>
      <c r="E35" s="5" t="s">
        <v>620</v>
      </c>
      <c r="F35" s="5" t="s">
        <v>621</v>
      </c>
      <c r="G35" s="5" t="s">
        <v>250</v>
      </c>
      <c r="H35" s="5" t="s">
        <v>622</v>
      </c>
      <c r="I35" s="5" t="s">
        <v>25</v>
      </c>
    </row>
    <row r="36" spans="1:9" ht="16" x14ac:dyDescent="0.2">
      <c r="A36" s="5" t="s">
        <v>623</v>
      </c>
      <c r="B36" s="5" t="s">
        <v>59</v>
      </c>
      <c r="C36" s="5" t="s">
        <v>624</v>
      </c>
      <c r="D36" s="5" t="s">
        <v>949</v>
      </c>
      <c r="E36" s="5" t="s">
        <v>625</v>
      </c>
      <c r="F36" s="5" t="s">
        <v>626</v>
      </c>
      <c r="G36" s="5" t="s">
        <v>271</v>
      </c>
      <c r="H36" s="5" t="s">
        <v>627</v>
      </c>
      <c r="I36" s="5" t="s">
        <v>25</v>
      </c>
    </row>
    <row r="37" spans="1:9" ht="32" x14ac:dyDescent="0.2">
      <c r="A37" s="5" t="s">
        <v>628</v>
      </c>
      <c r="B37" s="5" t="s">
        <v>59</v>
      </c>
      <c r="C37" s="5" t="s">
        <v>577</v>
      </c>
      <c r="D37" s="5" t="s">
        <v>952</v>
      </c>
      <c r="E37" s="5" t="s">
        <v>629</v>
      </c>
      <c r="F37" s="5" t="s">
        <v>630</v>
      </c>
      <c r="G37" s="5" t="s">
        <v>291</v>
      </c>
      <c r="H37" s="5" t="s">
        <v>631</v>
      </c>
      <c r="I37" s="5" t="s">
        <v>25</v>
      </c>
    </row>
    <row r="38" spans="1:9" ht="409.6" x14ac:dyDescent="0.2">
      <c r="A38" s="5" t="s">
        <v>632</v>
      </c>
      <c r="B38" s="5" t="s">
        <v>80</v>
      </c>
      <c r="C38" s="5" t="s">
        <v>633</v>
      </c>
      <c r="D38" s="5" t="s">
        <v>1040</v>
      </c>
      <c r="E38" s="5" t="s">
        <v>634</v>
      </c>
      <c r="F38" s="5" t="s">
        <v>1041</v>
      </c>
      <c r="G38" s="5" t="s">
        <v>96</v>
      </c>
      <c r="H38" s="5" t="s">
        <v>1042</v>
      </c>
      <c r="I38" s="5" t="s">
        <v>13</v>
      </c>
    </row>
    <row r="39" spans="1:9" ht="16" x14ac:dyDescent="0.2">
      <c r="A39" s="5" t="s">
        <v>635</v>
      </c>
      <c r="B39" s="5" t="s">
        <v>80</v>
      </c>
      <c r="C39" s="5" t="s">
        <v>633</v>
      </c>
      <c r="D39" s="5" t="s">
        <v>189</v>
      </c>
      <c r="E39" s="5" t="s">
        <v>636</v>
      </c>
      <c r="F39" s="5" t="s">
        <v>637</v>
      </c>
      <c r="G39" s="5" t="s">
        <v>184</v>
      </c>
      <c r="H39" s="5" t="s">
        <v>638</v>
      </c>
      <c r="I39" s="5" t="s">
        <v>25</v>
      </c>
    </row>
    <row r="40" spans="1:9" ht="16" x14ac:dyDescent="0.2">
      <c r="A40" s="5" t="s">
        <v>639</v>
      </c>
      <c r="B40" s="5" t="s">
        <v>80</v>
      </c>
      <c r="C40" s="5" t="s">
        <v>633</v>
      </c>
      <c r="D40" s="5" t="s">
        <v>124</v>
      </c>
      <c r="E40" s="5" t="s">
        <v>640</v>
      </c>
      <c r="F40" s="5" t="s">
        <v>641</v>
      </c>
      <c r="G40" s="5" t="s">
        <v>117</v>
      </c>
      <c r="H40" s="5" t="s">
        <v>642</v>
      </c>
      <c r="I40" s="5" t="s">
        <v>25</v>
      </c>
    </row>
    <row r="41" spans="1:9" ht="16" x14ac:dyDescent="0.2">
      <c r="A41" s="5" t="s">
        <v>643</v>
      </c>
      <c r="B41" s="5" t="s">
        <v>80</v>
      </c>
      <c r="C41" s="5" t="s">
        <v>633</v>
      </c>
      <c r="D41" s="5" t="s">
        <v>644</v>
      </c>
      <c r="E41" s="5" t="s">
        <v>645</v>
      </c>
      <c r="F41" s="5" t="s">
        <v>646</v>
      </c>
      <c r="G41" s="5" t="s">
        <v>234</v>
      </c>
      <c r="H41" s="5" t="s">
        <v>647</v>
      </c>
      <c r="I41" s="5" t="s">
        <v>25</v>
      </c>
    </row>
    <row r="42" spans="1:9" ht="16" x14ac:dyDescent="0.2">
      <c r="A42" s="5" t="s">
        <v>648</v>
      </c>
      <c r="B42" s="5" t="s">
        <v>339</v>
      </c>
      <c r="C42" s="5" t="s">
        <v>649</v>
      </c>
      <c r="D42" s="5" t="s">
        <v>996</v>
      </c>
      <c r="E42" s="5" t="s">
        <v>650</v>
      </c>
      <c r="F42" s="5" t="s">
        <v>651</v>
      </c>
      <c r="G42" s="5" t="s">
        <v>341</v>
      </c>
      <c r="H42" s="5" t="s">
        <v>652</v>
      </c>
      <c r="I42" s="5" t="s">
        <v>25</v>
      </c>
    </row>
    <row r="43" spans="1:9" ht="16" x14ac:dyDescent="0.2">
      <c r="A43" s="5" t="s">
        <v>653</v>
      </c>
      <c r="B43" s="5" t="s">
        <v>339</v>
      </c>
      <c r="C43" s="5" t="s">
        <v>654</v>
      </c>
      <c r="D43" s="5" t="s">
        <v>356</v>
      </c>
      <c r="E43" s="5" t="s">
        <v>655</v>
      </c>
      <c r="F43" s="5" t="s">
        <v>656</v>
      </c>
      <c r="G43" s="5" t="s">
        <v>351</v>
      </c>
      <c r="H43" s="5" t="s">
        <v>657</v>
      </c>
      <c r="I43" s="5" t="s">
        <v>25</v>
      </c>
    </row>
    <row r="44" spans="1:9" ht="64" x14ac:dyDescent="0.2">
      <c r="A44" s="5" t="s">
        <v>913</v>
      </c>
      <c r="B44" s="5" t="s">
        <v>914</v>
      </c>
      <c r="C44" s="5" t="s">
        <v>915</v>
      </c>
      <c r="D44" s="5" t="s">
        <v>916</v>
      </c>
      <c r="E44" s="5" t="s">
        <v>917</v>
      </c>
      <c r="F44" s="5" t="s">
        <v>918</v>
      </c>
      <c r="G44" s="5" t="s">
        <v>903</v>
      </c>
      <c r="H44" s="5" t="s">
        <v>919</v>
      </c>
      <c r="I44" s="5" t="s">
        <v>13</v>
      </c>
    </row>
    <row r="45" spans="1:9" ht="80" x14ac:dyDescent="0.2">
      <c r="A45" s="5" t="s">
        <v>997</v>
      </c>
      <c r="B45" s="5" t="s">
        <v>914</v>
      </c>
      <c r="C45" s="5" t="s">
        <v>915</v>
      </c>
      <c r="D45" s="5" t="s">
        <v>998</v>
      </c>
      <c r="E45" s="5" t="s">
        <v>999</v>
      </c>
      <c r="F45" s="5" t="s">
        <v>1000</v>
      </c>
      <c r="G45" s="5" t="s">
        <v>963</v>
      </c>
      <c r="H45" s="5" t="s">
        <v>1001</v>
      </c>
      <c r="I45" s="5" t="s">
        <v>13</v>
      </c>
    </row>
    <row r="46" spans="1:9" ht="144" x14ac:dyDescent="0.2">
      <c r="A46" s="5" t="s">
        <v>1010</v>
      </c>
      <c r="B46" s="5" t="s">
        <v>914</v>
      </c>
      <c r="C46" s="5" t="s">
        <v>915</v>
      </c>
      <c r="D46" s="5" t="s">
        <v>1007</v>
      </c>
      <c r="E46" s="5" t="s">
        <v>1011</v>
      </c>
      <c r="F46" s="5" t="s">
        <v>1012</v>
      </c>
      <c r="G46" s="5" t="s">
        <v>1002</v>
      </c>
      <c r="H46" s="5" t="s">
        <v>1013</v>
      </c>
      <c r="I46" s="5" t="s">
        <v>13</v>
      </c>
    </row>
    <row r="47" spans="1:9" ht="96" x14ac:dyDescent="0.2">
      <c r="A47" s="5" t="s">
        <v>1016</v>
      </c>
      <c r="B47" s="5" t="s">
        <v>59</v>
      </c>
      <c r="C47" s="5" t="s">
        <v>1017</v>
      </c>
      <c r="D47" s="5" t="s">
        <v>1018</v>
      </c>
      <c r="E47" s="5" t="s">
        <v>1019</v>
      </c>
      <c r="F47" s="5" t="s">
        <v>1020</v>
      </c>
      <c r="G47" s="5" t="s">
        <v>57</v>
      </c>
      <c r="H47" s="5" t="s">
        <v>1021</v>
      </c>
      <c r="I47" s="5" t="s">
        <v>13</v>
      </c>
    </row>
    <row r="48" spans="1:9" ht="128" x14ac:dyDescent="0.2">
      <c r="A48" s="5" t="s">
        <v>1030</v>
      </c>
      <c r="B48" s="5" t="s">
        <v>80</v>
      </c>
      <c r="C48" s="5" t="s">
        <v>1031</v>
      </c>
      <c r="D48" s="5" t="s">
        <v>81</v>
      </c>
      <c r="E48" s="5" t="s">
        <v>1032</v>
      </c>
      <c r="F48" s="5" t="s">
        <v>1033</v>
      </c>
      <c r="G48" s="5" t="s">
        <v>75</v>
      </c>
      <c r="H48" s="5" t="s">
        <v>1034</v>
      </c>
      <c r="I48" s="5" t="s">
        <v>13</v>
      </c>
    </row>
    <row r="49" spans="1:9" ht="144" x14ac:dyDescent="0.2">
      <c r="A49" s="5" t="s">
        <v>1035</v>
      </c>
      <c r="B49" s="5" t="s">
        <v>80</v>
      </c>
      <c r="C49" s="5" t="s">
        <v>633</v>
      </c>
      <c r="D49" s="5" t="s">
        <v>1039</v>
      </c>
      <c r="E49" s="5" t="s">
        <v>1036</v>
      </c>
      <c r="F49" s="5" t="s">
        <v>1037</v>
      </c>
      <c r="G49" s="5" t="s">
        <v>82</v>
      </c>
      <c r="H49" s="5" t="s">
        <v>1038</v>
      </c>
      <c r="I49" s="5" t="s">
        <v>13</v>
      </c>
    </row>
    <row r="50" spans="1:9" ht="409.6" x14ac:dyDescent="0.2">
      <c r="A50" s="5" t="s">
        <v>1043</v>
      </c>
      <c r="B50" s="5" t="s">
        <v>80</v>
      </c>
      <c r="C50" s="5" t="s">
        <v>633</v>
      </c>
      <c r="D50" s="5" t="s">
        <v>1044</v>
      </c>
      <c r="E50" s="5" t="s">
        <v>1045</v>
      </c>
      <c r="F50" s="5" t="s">
        <v>1046</v>
      </c>
      <c r="G50" s="5" t="s">
        <v>102</v>
      </c>
      <c r="H50" s="5" t="s">
        <v>1047</v>
      </c>
      <c r="I50" s="5" t="s">
        <v>13</v>
      </c>
    </row>
  </sheetData>
  <autoFilter ref="A1:I50" xr:uid="{00000000-0009-0000-0000-000006000000}"/>
  <conditionalFormatting sqref="I2:I50">
    <cfRule type="expression" dxfId="14" priority="1">
      <formula>$I2="Done"</formula>
    </cfRule>
    <cfRule type="expression" dxfId="13" priority="2">
      <formula>$I2="In Progress"</formula>
    </cfRule>
    <cfRule type="expression" dxfId="12" priority="3">
      <formula>$I2="Blocked"</formula>
    </cfRule>
    <cfRule type="expression" dxfId="11" priority="4">
      <formula>$I2="Review"</formula>
    </cfRule>
    <cfRule type="expression" dxfId="10" priority="5">
      <formula>$I2="Todo"</formula>
    </cfRule>
  </conditionalFormatting>
  <dataValidations count="1">
    <dataValidation type="list" allowBlank="1" sqref="I2:I50" xr:uid="{00000000-0002-0000-0600-000000000000}">
      <formula1>"Todo,In Progress,Blocked,Review,Done"</formula1>
    </dataValidation>
  </dataValidations>
  <pageMargins left="0.75" right="0.75" top="1" bottom="1" header="0.5" footer="0.5"/>
  <pageSetup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46"/>
  <sheetViews>
    <sheetView showGridLines="0" workbookViewId="0">
      <pane ySplit="1" topLeftCell="A2" activePane="bottomLeft" state="frozen"/>
      <selection pane="bottomLeft"/>
    </sheetView>
  </sheetViews>
  <sheetFormatPr baseColWidth="10" defaultColWidth="8.83203125" defaultRowHeight="15" x14ac:dyDescent="0.2"/>
  <cols>
    <col min="1" max="1" width="14" customWidth="1"/>
    <col min="2" max="2" width="55" customWidth="1"/>
    <col min="3" max="3" width="45" customWidth="1"/>
    <col min="4" max="4" width="22" customWidth="1"/>
    <col min="5" max="5" width="14" customWidth="1"/>
  </cols>
  <sheetData>
    <row r="1" spans="1:5" ht="16" x14ac:dyDescent="0.2">
      <c r="A1" s="4" t="s">
        <v>658</v>
      </c>
      <c r="B1" s="4" t="s">
        <v>659</v>
      </c>
      <c r="C1" s="4" t="s">
        <v>660</v>
      </c>
      <c r="D1" s="4" t="s">
        <v>661</v>
      </c>
      <c r="E1" s="4" t="s">
        <v>662</v>
      </c>
    </row>
    <row r="2" spans="1:5" ht="32" x14ac:dyDescent="0.2">
      <c r="A2" s="5" t="s">
        <v>64</v>
      </c>
      <c r="B2" s="5" t="s">
        <v>1026</v>
      </c>
      <c r="C2" s="5" t="s">
        <v>1027</v>
      </c>
      <c r="D2" s="5" t="s">
        <v>65</v>
      </c>
      <c r="E2" s="5" t="s">
        <v>487</v>
      </c>
    </row>
    <row r="3" spans="1:5" ht="16" x14ac:dyDescent="0.2">
      <c r="A3" s="5" t="s">
        <v>64</v>
      </c>
      <c r="B3" s="5" t="s">
        <v>970</v>
      </c>
      <c r="C3" s="5" t="s">
        <v>491</v>
      </c>
      <c r="D3" s="5" t="s">
        <v>87</v>
      </c>
      <c r="E3" s="5" t="s">
        <v>489</v>
      </c>
    </row>
    <row r="4" spans="1:5" ht="16" x14ac:dyDescent="0.2">
      <c r="A4" s="5" t="s">
        <v>64</v>
      </c>
      <c r="B4" s="5" t="s">
        <v>971</v>
      </c>
      <c r="C4" s="5" t="s">
        <v>495</v>
      </c>
      <c r="D4" s="5" t="s">
        <v>87</v>
      </c>
      <c r="E4" s="5" t="s">
        <v>494</v>
      </c>
    </row>
    <row r="5" spans="1:5" ht="64" x14ac:dyDescent="0.2">
      <c r="A5" s="5" t="inlineStr">
        <is>
          <t>Backend</t>
        </is>
      </c>
      <c r="B5" s="5" t="inlineStr">
        <is>
          <t>apps/api/src/common/supabase/supabase.constants.ts; apps/api/src/common/supabase/supabase.provider.ts; apps/api/src/common/supabase/supabase.module.ts; apps/api/src/common/supabase/supabase.provider.spec.ts; apps/api/src/modules/auth/auth.types.ts; apps/api/src/modules/auth/dto/auth-response.dto.ts; apps/api/src/modules/auth/dto/register.dto.ts; apps/api/src/modules/auth/auth.module.ts; apps/api/package.json; ././pnpm-lock.yaml</t>
        </is>
      </c>
      <c r="C5" s="5" t="inlineStr">
        <is>
          <t>Create authentication integration foundation</t>
        </is>
      </c>
      <c r="D5" s="5" t="inlineStr">
        <is>
          <t>IAM-015,IAM-016</t>
        </is>
      </c>
      <c r="E5" s="5" t="inlineStr">
        <is>
          <t>CODE-048</t>
        </is>
      </c>
    </row>
    <row r="6" spans="1:5" ht="48" x14ac:dyDescent="0.2">
      <c r="A6" s="5" t="inlineStr">
        <is>
          <t>Backend</t>
        </is>
      </c>
      <c r="B6" s="5" t="inlineStr">
        <is>
          <t>apps/api/src/modules/auth/auth.service.ts; apps/api/src/modules/auth/auth.repository.ts; apps/api/src/modules/auth/auth.service.spec.ts; apps/api/src/modules/auth/auth.repository.spec.ts</t>
        </is>
      </c>
      <c r="C6" s="5" t="inlineStr">
        <is>
          <t>Implement company registration orchestration</t>
        </is>
      </c>
      <c r="D6" s="5" t="inlineStr">
        <is>
          <t>IAM-015</t>
        </is>
      </c>
      <c r="E6" s="5" t="inlineStr">
        <is>
          <t>CODE-005</t>
        </is>
      </c>
    </row>
    <row r="7" spans="1:5" ht="48" x14ac:dyDescent="0.2">
      <c r="A7" s="5" t="inlineStr">
        <is>
          <t>Backend</t>
        </is>
      </c>
      <c r="B7" s="5" t="inlineStr">
        <is>
          <t>apps/api/src/modules/auth/auth.service.ts; apps/api/src/modules/auth/auth.repository.ts; apps/api/src/modules/auth/auth.service.spec.ts; apps/api/src/modules/auth/auth.repository.spec.ts</t>
        </is>
      </c>
      <c r="C7" s="5" t="inlineStr">
        <is>
          <t>Implement login service and user context</t>
        </is>
      </c>
      <c r="D7" s="5" t="inlineStr">
        <is>
          <t>IAM-016</t>
        </is>
      </c>
      <c r="E7" s="5" t="inlineStr">
        <is>
          <t>CODE-049</t>
        </is>
      </c>
    </row>
    <row r="8" spans="1:5" ht="32" x14ac:dyDescent="0.2">
      <c r="A8" s="5" t="inlineStr">
        <is>
          <t>Backend</t>
        </is>
      </c>
      <c r="B8" s="5" t="inlineStr">
        <is>
          <t>apps/api/src/modules/auth/auth.controller.ts; apps/api/src/modules/auth/auth.controller.spec.ts</t>
        </is>
      </c>
      <c r="C8" s="5" t="inlineStr">
        <is>
          <t>Implement register and login controllers</t>
        </is>
      </c>
      <c r="D8" s="5" t="inlineStr">
        <is>
          <t>IAM-015,IAM-016</t>
        </is>
      </c>
      <c r="E8" s="5" t="inlineStr">
        <is>
          <t>CODE-004</t>
        </is>
      </c>
    </row>
    <row r="9" spans="1:5" ht="16" x14ac:dyDescent="0.2">
      <c r="A9" s="5" t="s">
        <v>64</v>
      </c>
      <c r="B9" s="5" t="s">
        <v>974</v>
      </c>
      <c r="C9" s="5" t="s">
        <v>508</v>
      </c>
      <c r="D9" s="5" t="s">
        <v>130</v>
      </c>
      <c r="E9" s="5" t="s">
        <v>507</v>
      </c>
    </row>
    <row r="10" spans="1:5" ht="16" x14ac:dyDescent="0.2">
      <c r="A10" s="5" t="s">
        <v>64</v>
      </c>
      <c r="B10" s="5" t="s">
        <v>975</v>
      </c>
      <c r="C10" s="5" t="s">
        <v>513</v>
      </c>
      <c r="D10" s="5" t="s">
        <v>141</v>
      </c>
      <c r="E10" s="5" t="s">
        <v>511</v>
      </c>
    </row>
    <row r="11" spans="1:5" ht="16" x14ac:dyDescent="0.2">
      <c r="A11" s="5" t="s">
        <v>64</v>
      </c>
      <c r="B11" s="5" t="s">
        <v>976</v>
      </c>
      <c r="C11" s="5" t="s">
        <v>517</v>
      </c>
      <c r="D11" s="5" t="s">
        <v>141</v>
      </c>
      <c r="E11" s="5" t="s">
        <v>516</v>
      </c>
    </row>
    <row r="12" spans="1:5" ht="16" x14ac:dyDescent="0.2">
      <c r="A12" s="5" t="s">
        <v>64</v>
      </c>
      <c r="B12" s="5" t="s">
        <v>977</v>
      </c>
      <c r="C12" s="5" t="s">
        <v>522</v>
      </c>
      <c r="D12" s="5" t="s">
        <v>177</v>
      </c>
      <c r="E12" s="5" t="s">
        <v>520</v>
      </c>
    </row>
    <row r="13" spans="1:5" ht="16" x14ac:dyDescent="0.2">
      <c r="A13" s="5" t="s">
        <v>64</v>
      </c>
      <c r="B13" s="5" t="s">
        <v>978</v>
      </c>
      <c r="C13" s="5" t="s">
        <v>527</v>
      </c>
      <c r="D13" s="5" t="s">
        <v>161</v>
      </c>
      <c r="E13" s="5" t="s">
        <v>525</v>
      </c>
    </row>
    <row r="14" spans="1:5" ht="16" x14ac:dyDescent="0.2">
      <c r="A14" s="5" t="s">
        <v>64</v>
      </c>
      <c r="B14" s="5" t="s">
        <v>979</v>
      </c>
      <c r="C14" s="5" t="s">
        <v>531</v>
      </c>
      <c r="D14" s="5" t="s">
        <v>161</v>
      </c>
      <c r="E14" s="5" t="s">
        <v>530</v>
      </c>
    </row>
    <row r="15" spans="1:5" ht="16" x14ac:dyDescent="0.2">
      <c r="A15" s="5" t="s">
        <v>64</v>
      </c>
      <c r="B15" s="5" t="s">
        <v>980</v>
      </c>
      <c r="C15" s="5" t="s">
        <v>536</v>
      </c>
      <c r="D15" s="5" t="s">
        <v>538</v>
      </c>
      <c r="E15" s="5" t="s">
        <v>534</v>
      </c>
    </row>
    <row r="16" spans="1:5" ht="16" x14ac:dyDescent="0.2">
      <c r="A16" s="5" t="s">
        <v>64</v>
      </c>
      <c r="B16" s="5" t="s">
        <v>931</v>
      </c>
      <c r="C16" s="5" t="s">
        <v>541</v>
      </c>
      <c r="D16" s="5" t="s">
        <v>538</v>
      </c>
      <c r="E16" s="5" t="s">
        <v>540</v>
      </c>
    </row>
    <row r="17" spans="1:5" ht="16" x14ac:dyDescent="0.2">
      <c r="A17" s="5" t="s">
        <v>64</v>
      </c>
      <c r="B17" s="5" t="s">
        <v>981</v>
      </c>
      <c r="C17" s="5" t="s">
        <v>546</v>
      </c>
      <c r="D17" s="5" t="s">
        <v>195</v>
      </c>
      <c r="E17" s="5" t="s">
        <v>544</v>
      </c>
    </row>
    <row r="18" spans="1:5" ht="16" x14ac:dyDescent="0.2">
      <c r="A18" s="5" t="s">
        <v>64</v>
      </c>
      <c r="B18" s="5" t="s">
        <v>982</v>
      </c>
      <c r="C18" s="5" t="s">
        <v>550</v>
      </c>
      <c r="D18" s="5" t="s">
        <v>552</v>
      </c>
      <c r="E18" s="5" t="s">
        <v>549</v>
      </c>
    </row>
    <row r="19" spans="1:5" ht="16" x14ac:dyDescent="0.2">
      <c r="A19" s="5" t="s">
        <v>64</v>
      </c>
      <c r="B19" s="5" t="s">
        <v>939</v>
      </c>
      <c r="C19" s="5" t="s">
        <v>555</v>
      </c>
      <c r="D19" s="5" t="s">
        <v>552</v>
      </c>
      <c r="E19" s="5" t="s">
        <v>554</v>
      </c>
    </row>
    <row r="20" spans="1:5" ht="16" x14ac:dyDescent="0.2">
      <c r="A20" s="5" t="s">
        <v>64</v>
      </c>
      <c r="B20" s="5" t="s">
        <v>940</v>
      </c>
      <c r="C20" s="5" t="s">
        <v>559</v>
      </c>
      <c r="D20" s="5" t="s">
        <v>213</v>
      </c>
      <c r="E20" s="5" t="s">
        <v>558</v>
      </c>
    </row>
    <row r="21" spans="1:5" ht="16" x14ac:dyDescent="0.2">
      <c r="A21" s="5" t="s">
        <v>64</v>
      </c>
      <c r="B21" s="5" t="s">
        <v>983</v>
      </c>
      <c r="C21" s="5" t="s">
        <v>564</v>
      </c>
      <c r="D21" s="5" t="s">
        <v>240</v>
      </c>
      <c r="E21" s="5" t="s">
        <v>562</v>
      </c>
    </row>
    <row r="22" spans="1:5" ht="16" x14ac:dyDescent="0.2">
      <c r="A22" s="5" t="s">
        <v>64</v>
      </c>
      <c r="B22" s="5" t="s">
        <v>984</v>
      </c>
      <c r="C22" s="5" t="s">
        <v>568</v>
      </c>
      <c r="D22" s="5" t="s">
        <v>240</v>
      </c>
      <c r="E22" s="5" t="s">
        <v>567</v>
      </c>
    </row>
    <row r="23" spans="1:5" ht="16" x14ac:dyDescent="0.2">
      <c r="A23" s="5" t="s">
        <v>64</v>
      </c>
      <c r="B23" s="5" t="s">
        <v>985</v>
      </c>
      <c r="C23" s="5" t="s">
        <v>573</v>
      </c>
      <c r="D23" s="5" t="s">
        <v>262</v>
      </c>
      <c r="E23" s="5" t="s">
        <v>571</v>
      </c>
    </row>
    <row r="24" spans="1:5" ht="16" x14ac:dyDescent="0.2">
      <c r="A24" s="5" t="s">
        <v>64</v>
      </c>
      <c r="B24" s="5" t="s">
        <v>950</v>
      </c>
      <c r="C24" s="5" t="s">
        <v>578</v>
      </c>
      <c r="D24" s="5" t="s">
        <v>282</v>
      </c>
      <c r="E24" s="5" t="s">
        <v>576</v>
      </c>
    </row>
    <row r="25" spans="1:5" ht="16" x14ac:dyDescent="0.2">
      <c r="A25" s="5" t="s">
        <v>59</v>
      </c>
      <c r="B25" s="5" t="s">
        <v>986</v>
      </c>
      <c r="C25" s="5" t="s">
        <v>582</v>
      </c>
      <c r="D25" s="5" t="s">
        <v>92</v>
      </c>
      <c r="E25" s="5" t="s">
        <v>581</v>
      </c>
    </row>
    <row r="26" spans="1:5" ht="16" x14ac:dyDescent="0.2">
      <c r="A26" s="5" t="s">
        <v>59</v>
      </c>
      <c r="B26" s="5" t="s">
        <v>987</v>
      </c>
      <c r="C26" s="5" t="s">
        <v>585</v>
      </c>
      <c r="D26" s="5" t="s">
        <v>92</v>
      </c>
      <c r="E26" s="5" t="s">
        <v>584</v>
      </c>
    </row>
    <row r="27" spans="1:5" ht="16" x14ac:dyDescent="0.2">
      <c r="A27" s="5" t="s">
        <v>59</v>
      </c>
      <c r="B27" s="5" t="s">
        <v>988</v>
      </c>
      <c r="C27" s="5" t="s">
        <v>588</v>
      </c>
      <c r="D27" s="5" t="s">
        <v>135</v>
      </c>
      <c r="E27" s="5" t="s">
        <v>586</v>
      </c>
    </row>
    <row r="28" spans="1:5" ht="16" x14ac:dyDescent="0.2">
      <c r="A28" s="5" t="s">
        <v>59</v>
      </c>
      <c r="B28" s="5" t="s">
        <v>989</v>
      </c>
      <c r="C28" s="5" t="s">
        <v>592</v>
      </c>
      <c r="D28" s="5" t="s">
        <v>135</v>
      </c>
      <c r="E28" s="5" t="s">
        <v>591</v>
      </c>
    </row>
    <row r="29" spans="1:5" ht="16" x14ac:dyDescent="0.2">
      <c r="A29" s="5" t="s">
        <v>59</v>
      </c>
      <c r="B29" s="5" t="s">
        <v>990</v>
      </c>
      <c r="C29" s="5" t="s">
        <v>597</v>
      </c>
      <c r="D29" s="5" t="s">
        <v>172</v>
      </c>
      <c r="E29" s="5" t="s">
        <v>595</v>
      </c>
    </row>
    <row r="30" spans="1:5" ht="16" x14ac:dyDescent="0.2">
      <c r="A30" s="5" t="s">
        <v>59</v>
      </c>
      <c r="B30" s="5" t="s">
        <v>991</v>
      </c>
      <c r="C30" s="5" t="s">
        <v>601</v>
      </c>
      <c r="D30" s="5" t="s">
        <v>603</v>
      </c>
      <c r="E30" s="5" t="s">
        <v>600</v>
      </c>
    </row>
    <row r="31" spans="1:5" ht="16" x14ac:dyDescent="0.2">
      <c r="A31" s="5" t="s">
        <v>59</v>
      </c>
      <c r="B31" s="5" t="s">
        <v>992</v>
      </c>
      <c r="C31" s="5" t="s">
        <v>220</v>
      </c>
      <c r="D31" s="5" t="s">
        <v>607</v>
      </c>
      <c r="E31" s="5" t="s">
        <v>605</v>
      </c>
    </row>
    <row r="32" spans="1:5" ht="16" x14ac:dyDescent="0.2">
      <c r="A32" s="5" t="s">
        <v>59</v>
      </c>
      <c r="B32" s="5" t="s">
        <v>993</v>
      </c>
      <c r="C32" s="5" t="s">
        <v>225</v>
      </c>
      <c r="D32" s="5" t="s">
        <v>224</v>
      </c>
      <c r="E32" s="5" t="s">
        <v>609</v>
      </c>
    </row>
    <row r="33" spans="1:5" ht="16" x14ac:dyDescent="0.2">
      <c r="A33" s="5" t="s">
        <v>59</v>
      </c>
      <c r="B33" s="5" t="s">
        <v>994</v>
      </c>
      <c r="C33" s="5" t="s">
        <v>230</v>
      </c>
      <c r="D33" s="5" t="s">
        <v>229</v>
      </c>
      <c r="E33" s="5" t="s">
        <v>612</v>
      </c>
    </row>
    <row r="34" spans="1:5" ht="16" x14ac:dyDescent="0.2">
      <c r="A34" s="5" t="s">
        <v>59</v>
      </c>
      <c r="B34" s="5" t="s">
        <v>995</v>
      </c>
      <c r="C34" s="5" t="s">
        <v>616</v>
      </c>
      <c r="D34" s="5" t="s">
        <v>266</v>
      </c>
      <c r="E34" s="5" t="s">
        <v>615</v>
      </c>
    </row>
    <row r="35" spans="1:5" ht="16" x14ac:dyDescent="0.2">
      <c r="A35" s="5" t="s">
        <v>59</v>
      </c>
      <c r="B35" s="5" t="s">
        <v>946</v>
      </c>
      <c r="C35" s="5" t="s">
        <v>620</v>
      </c>
      <c r="D35" s="5" t="s">
        <v>250</v>
      </c>
      <c r="E35" s="5" t="s">
        <v>619</v>
      </c>
    </row>
    <row r="36" spans="1:5" ht="16" x14ac:dyDescent="0.2">
      <c r="A36" s="5" t="s">
        <v>59</v>
      </c>
      <c r="B36" s="5" t="s">
        <v>949</v>
      </c>
      <c r="C36" s="5" t="s">
        <v>625</v>
      </c>
      <c r="D36" s="5" t="s">
        <v>271</v>
      </c>
      <c r="E36" s="5" t="s">
        <v>623</v>
      </c>
    </row>
    <row r="37" spans="1:5" ht="16" x14ac:dyDescent="0.2">
      <c r="A37" s="5" t="s">
        <v>59</v>
      </c>
      <c r="B37" s="5" t="s">
        <v>952</v>
      </c>
      <c r="C37" s="5" t="s">
        <v>629</v>
      </c>
      <c r="D37" s="5" t="s">
        <v>291</v>
      </c>
      <c r="E37" s="5" t="s">
        <v>628</v>
      </c>
    </row>
    <row r="38" spans="1:5" ht="16" x14ac:dyDescent="0.2">
      <c r="A38" s="5" t="s">
        <v>80</v>
      </c>
      <c r="B38" s="5" t="s">
        <v>1040</v>
      </c>
      <c r="C38" s="5" t="s">
        <v>634</v>
      </c>
      <c r="D38" s="5" t="s">
        <v>96</v>
      </c>
      <c r="E38" s="5" t="s">
        <v>632</v>
      </c>
    </row>
    <row r="39" spans="1:5" ht="16" x14ac:dyDescent="0.2">
      <c r="A39" s="5" t="s">
        <v>80</v>
      </c>
      <c r="B39" s="5" t="s">
        <v>189</v>
      </c>
      <c r="C39" s="5" t="s">
        <v>636</v>
      </c>
      <c r="D39" s="5" t="s">
        <v>184</v>
      </c>
      <c r="E39" s="5" t="s">
        <v>635</v>
      </c>
    </row>
    <row r="40" spans="1:5" ht="16" x14ac:dyDescent="0.2">
      <c r="A40" s="5" t="s">
        <v>80</v>
      </c>
      <c r="B40" s="5" t="s">
        <v>124</v>
      </c>
      <c r="C40" s="5" t="s">
        <v>640</v>
      </c>
      <c r="D40" s="5" t="s">
        <v>117</v>
      </c>
      <c r="E40" s="5" t="s">
        <v>639</v>
      </c>
    </row>
    <row r="41" spans="1:5" ht="16" x14ac:dyDescent="0.2">
      <c r="A41" s="5" t="s">
        <v>80</v>
      </c>
      <c r="B41" s="5" t="s">
        <v>644</v>
      </c>
      <c r="C41" s="5" t="s">
        <v>645</v>
      </c>
      <c r="D41" s="5" t="s">
        <v>234</v>
      </c>
      <c r="E41" s="5" t="s">
        <v>643</v>
      </c>
    </row>
    <row r="42" spans="1:5" ht="16" x14ac:dyDescent="0.2">
      <c r="A42" s="5" t="s">
        <v>339</v>
      </c>
      <c r="B42" s="5" t="s">
        <v>996</v>
      </c>
      <c r="C42" s="5" t="s">
        <v>650</v>
      </c>
      <c r="D42" s="5" t="s">
        <v>341</v>
      </c>
      <c r="E42" s="5" t="s">
        <v>648</v>
      </c>
    </row>
    <row r="43" spans="1:5" ht="16" x14ac:dyDescent="0.2">
      <c r="A43" s="5" t="s">
        <v>339</v>
      </c>
      <c r="B43" s="5" t="s">
        <v>356</v>
      </c>
      <c r="C43" s="5" t="s">
        <v>655</v>
      </c>
      <c r="D43" s="5" t="s">
        <v>351</v>
      </c>
      <c r="E43" s="5" t="s">
        <v>653</v>
      </c>
    </row>
    <row r="44" spans="1:5" ht="16" x14ac:dyDescent="0.2">
      <c r="A44" s="5" t="s">
        <v>80</v>
      </c>
      <c r="B44" s="5" t="s">
        <v>81</v>
      </c>
      <c r="C44" s="5" t="s">
        <v>1032</v>
      </c>
      <c r="D44" s="5" t="s">
        <v>75</v>
      </c>
      <c r="E44" s="5" t="s">
        <v>1030</v>
      </c>
    </row>
    <row r="45" spans="1:5" ht="16" x14ac:dyDescent="0.2">
      <c r="A45" s="5" t="s">
        <v>80</v>
      </c>
      <c r="B45" s="5" t="s">
        <v>1039</v>
      </c>
      <c r="C45" s="5" t="s">
        <v>1036</v>
      </c>
      <c r="D45" s="5" t="s">
        <v>82</v>
      </c>
      <c r="E45" s="5" t="s">
        <v>1035</v>
      </c>
    </row>
    <row r="46" spans="1:5" ht="16" x14ac:dyDescent="0.2">
      <c r="A46" s="5" t="s">
        <v>80</v>
      </c>
      <c r="B46" s="5" t="s">
        <v>1044</v>
      </c>
      <c r="C46" s="5" t="s">
        <v>1045</v>
      </c>
      <c r="D46" s="5" t="s">
        <v>102</v>
      </c>
      <c r="E46" s="5" t="s">
        <v>1043</v>
      </c>
    </row>
  </sheetData>
  <autoFilter ref="A1:E46" xr:uid="{00000000-0009-0000-0000-000007000000}"/>
  <pageMargins left="0.75" right="0.75" top="1" bottom="1" header="0.5" footer="0.5"/>
  <pageSetup fitToHeight="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14"/>
  <sheetViews>
    <sheetView showGridLines="0" workbookViewId="0">
      <pane ySplit="1" topLeftCell="A2" activePane="bottomLeft" state="frozen"/>
      <selection pane="bottomLeft"/>
    </sheetView>
  </sheetViews>
  <sheetFormatPr baseColWidth="10" defaultColWidth="8.83203125" defaultRowHeight="15" x14ac:dyDescent="0.2"/>
  <cols>
    <col min="1" max="1" width="10" customWidth="1"/>
    <col min="2" max="2" width="28" customWidth="1"/>
    <col min="3" max="3" width="34" customWidth="1"/>
    <col min="4" max="4" width="24" customWidth="1"/>
    <col min="5" max="5" width="45" customWidth="1"/>
    <col min="6" max="6" width="32" customWidth="1"/>
    <col min="7" max="7" width="22" customWidth="1"/>
  </cols>
  <sheetData>
    <row r="1" spans="1:7" ht="16" x14ac:dyDescent="0.2">
      <c r="A1" s="4" t="s">
        <v>663</v>
      </c>
      <c r="B1" s="4" t="s">
        <v>664</v>
      </c>
      <c r="C1" s="4" t="s">
        <v>660</v>
      </c>
      <c r="D1" s="4" t="s">
        <v>665</v>
      </c>
      <c r="E1" s="4" t="s">
        <v>666</v>
      </c>
      <c r="F1" s="4" t="s">
        <v>667</v>
      </c>
      <c r="G1" s="4" t="s">
        <v>668</v>
      </c>
    </row>
    <row r="2" spans="1:7" ht="32" x14ac:dyDescent="0.2">
      <c r="A2" s="5" t="s">
        <v>669</v>
      </c>
      <c r="B2" s="5" t="s">
        <v>670</v>
      </c>
      <c r="C2" s="5" t="s">
        <v>671</v>
      </c>
      <c r="D2" s="5" t="s">
        <v>672</v>
      </c>
      <c r="E2" s="5" t="s">
        <v>673</v>
      </c>
      <c r="F2" s="5" t="s">
        <v>674</v>
      </c>
      <c r="G2" s="5" t="s">
        <v>675</v>
      </c>
    </row>
    <row r="3" spans="1:7" ht="16" x14ac:dyDescent="0.2">
      <c r="A3" s="5" t="s">
        <v>669</v>
      </c>
      <c r="B3" s="5" t="s">
        <v>676</v>
      </c>
      <c r="C3" s="5" t="s">
        <v>677</v>
      </c>
      <c r="D3" s="5" t="s">
        <v>672</v>
      </c>
      <c r="E3" s="5" t="s">
        <v>678</v>
      </c>
      <c r="F3" s="5" t="s">
        <v>674</v>
      </c>
      <c r="G3" s="5" t="s">
        <v>679</v>
      </c>
    </row>
    <row r="4" spans="1:7" ht="16" x14ac:dyDescent="0.2">
      <c r="A4" s="5" t="s">
        <v>680</v>
      </c>
      <c r="B4" s="5" t="s">
        <v>681</v>
      </c>
      <c r="C4" s="5" t="s">
        <v>682</v>
      </c>
      <c r="D4" s="5" t="s">
        <v>683</v>
      </c>
      <c r="E4" s="5" t="s">
        <v>684</v>
      </c>
      <c r="F4" s="5" t="s">
        <v>685</v>
      </c>
      <c r="G4" s="5" t="s">
        <v>686</v>
      </c>
    </row>
    <row r="5" spans="1:7" ht="16" x14ac:dyDescent="0.2">
      <c r="A5" s="5" t="s">
        <v>669</v>
      </c>
      <c r="B5" s="5" t="s">
        <v>687</v>
      </c>
      <c r="C5" s="5" t="s">
        <v>688</v>
      </c>
      <c r="D5" s="5" t="s">
        <v>683</v>
      </c>
      <c r="E5" s="5" t="s">
        <v>689</v>
      </c>
      <c r="F5" s="5" t="s">
        <v>690</v>
      </c>
      <c r="G5" s="5" t="s">
        <v>152</v>
      </c>
    </row>
    <row r="6" spans="1:7" ht="16" x14ac:dyDescent="0.2">
      <c r="A6" s="5" t="s">
        <v>669</v>
      </c>
      <c r="B6" s="5" t="s">
        <v>691</v>
      </c>
      <c r="C6" s="5" t="s">
        <v>692</v>
      </c>
      <c r="D6" s="5" t="s">
        <v>693</v>
      </c>
      <c r="E6" s="5" t="s">
        <v>694</v>
      </c>
      <c r="F6" s="5" t="s">
        <v>695</v>
      </c>
      <c r="G6" s="5" t="s">
        <v>157</v>
      </c>
    </row>
    <row r="7" spans="1:7" ht="16" x14ac:dyDescent="0.2">
      <c r="A7" s="5" t="s">
        <v>680</v>
      </c>
      <c r="B7" s="5" t="s">
        <v>696</v>
      </c>
      <c r="C7" s="5" t="s">
        <v>697</v>
      </c>
      <c r="D7" s="5" t="s">
        <v>698</v>
      </c>
      <c r="E7" s="5" t="s">
        <v>699</v>
      </c>
      <c r="F7" s="5" t="s">
        <v>700</v>
      </c>
      <c r="G7" s="5" t="s">
        <v>701</v>
      </c>
    </row>
    <row r="8" spans="1:7" ht="16" x14ac:dyDescent="0.2">
      <c r="A8" s="5" t="s">
        <v>669</v>
      </c>
      <c r="B8" s="5" t="s">
        <v>696</v>
      </c>
      <c r="C8" s="5" t="s">
        <v>702</v>
      </c>
      <c r="D8" s="5" t="s">
        <v>703</v>
      </c>
      <c r="E8" s="5" t="s">
        <v>704</v>
      </c>
      <c r="F8" s="5" t="s">
        <v>705</v>
      </c>
      <c r="G8" s="5" t="s">
        <v>706</v>
      </c>
    </row>
    <row r="9" spans="1:7" ht="16" x14ac:dyDescent="0.2">
      <c r="A9" s="5" t="s">
        <v>680</v>
      </c>
      <c r="B9" s="5" t="s">
        <v>707</v>
      </c>
      <c r="C9" s="5" t="s">
        <v>708</v>
      </c>
      <c r="D9" s="5" t="s">
        <v>709</v>
      </c>
      <c r="E9" s="5" t="s">
        <v>710</v>
      </c>
      <c r="F9" s="5" t="s">
        <v>711</v>
      </c>
      <c r="G9" s="5" t="s">
        <v>712</v>
      </c>
    </row>
    <row r="10" spans="1:7" ht="16" x14ac:dyDescent="0.2">
      <c r="A10" s="5" t="s">
        <v>713</v>
      </c>
      <c r="B10" s="5" t="s">
        <v>714</v>
      </c>
      <c r="C10" s="5" t="s">
        <v>715</v>
      </c>
      <c r="D10" s="5" t="s">
        <v>716</v>
      </c>
      <c r="E10" s="5" t="s">
        <v>717</v>
      </c>
      <c r="F10" s="5" t="s">
        <v>718</v>
      </c>
      <c r="G10" s="5" t="s">
        <v>719</v>
      </c>
    </row>
    <row r="11" spans="1:7" ht="16" x14ac:dyDescent="0.2">
      <c r="A11" s="5" t="s">
        <v>669</v>
      </c>
      <c r="B11" s="5" t="s">
        <v>720</v>
      </c>
      <c r="C11" s="5" t="s">
        <v>721</v>
      </c>
      <c r="D11" s="5" t="s">
        <v>722</v>
      </c>
      <c r="E11" s="5" t="s">
        <v>723</v>
      </c>
      <c r="F11" s="5" t="s">
        <v>724</v>
      </c>
      <c r="G11" s="5" t="s">
        <v>725</v>
      </c>
    </row>
    <row r="12" spans="1:7" ht="16" x14ac:dyDescent="0.2">
      <c r="A12" s="5" t="s">
        <v>669</v>
      </c>
      <c r="B12" s="5" t="s">
        <v>726</v>
      </c>
      <c r="C12" s="5" t="s">
        <v>727</v>
      </c>
      <c r="D12" s="5" t="s">
        <v>709</v>
      </c>
      <c r="E12" s="5" t="s">
        <v>728</v>
      </c>
      <c r="F12" s="5" t="s">
        <v>729</v>
      </c>
      <c r="G12" s="5" t="s">
        <v>730</v>
      </c>
    </row>
    <row r="13" spans="1:7" ht="16" x14ac:dyDescent="0.2">
      <c r="A13" s="5" t="s">
        <v>680</v>
      </c>
      <c r="B13" s="5" t="s">
        <v>731</v>
      </c>
      <c r="C13" s="5" t="s">
        <v>732</v>
      </c>
      <c r="D13" s="5" t="s">
        <v>722</v>
      </c>
      <c r="E13" s="5" t="s">
        <v>733</v>
      </c>
      <c r="F13" s="5" t="s">
        <v>734</v>
      </c>
      <c r="G13" s="5" t="s">
        <v>735</v>
      </c>
    </row>
    <row r="14" spans="1:7" ht="16" x14ac:dyDescent="0.2">
      <c r="A14" s="5" t="s">
        <v>713</v>
      </c>
      <c r="B14" s="5" t="s">
        <v>736</v>
      </c>
      <c r="C14" s="5" t="s">
        <v>737</v>
      </c>
      <c r="D14" s="5" t="s">
        <v>722</v>
      </c>
      <c r="E14" s="5" t="s">
        <v>738</v>
      </c>
      <c r="F14" s="5" t="s">
        <v>739</v>
      </c>
      <c r="G14" s="5" t="s">
        <v>735</v>
      </c>
    </row>
  </sheetData>
  <autoFilter ref="A1:G14" xr:uid="{00000000-0009-0000-0000-000008000000}"/>
  <pageMargins left="0.75" right="0.75" top="1" bottom="1" header="0.5" footer="0.5"/>
  <pageSetup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2"/>
  <sheetViews>
    <sheetView showGridLines="0" workbookViewId="0">
      <pane ySplit="1" topLeftCell="A2" activePane="bottomLeft" state="frozen"/>
      <selection pane="bottomLeft"/>
    </sheetView>
  </sheetViews>
  <sheetFormatPr baseColWidth="10" defaultColWidth="8.83203125" defaultRowHeight="15" x14ac:dyDescent="0.2"/>
  <cols>
    <col min="1" max="1" width="24" customWidth="1"/>
    <col min="2" max="2" width="34" customWidth="1"/>
    <col min="3" max="4" width="45" customWidth="1"/>
    <col min="5" max="5" width="32" customWidth="1"/>
    <col min="6" max="6" width="22" customWidth="1"/>
  </cols>
  <sheetData>
    <row r="1" spans="1:6" ht="16" x14ac:dyDescent="0.2">
      <c r="A1" s="4" t="s">
        <v>740</v>
      </c>
      <c r="B1" s="4" t="s">
        <v>660</v>
      </c>
      <c r="C1" s="4" t="s">
        <v>741</v>
      </c>
      <c r="D1" s="4" t="s">
        <v>742</v>
      </c>
      <c r="E1" s="4" t="s">
        <v>743</v>
      </c>
      <c r="F1" s="4" t="s">
        <v>668</v>
      </c>
    </row>
    <row r="2" spans="1:6" ht="32" x14ac:dyDescent="0.2">
      <c r="A2" s="5" t="s">
        <v>521</v>
      </c>
      <c r="B2" s="5" t="s">
        <v>744</v>
      </c>
      <c r="C2" s="5" t="s">
        <v>745</v>
      </c>
      <c r="D2" s="5" t="s">
        <v>746</v>
      </c>
      <c r="E2" s="5" t="s">
        <v>747</v>
      </c>
      <c r="F2" s="5" t="s">
        <v>748</v>
      </c>
    </row>
    <row r="3" spans="1:6" ht="32" x14ac:dyDescent="0.2">
      <c r="A3" s="5" t="s">
        <v>749</v>
      </c>
      <c r="B3" s="5" t="s">
        <v>750</v>
      </c>
      <c r="C3" s="5" t="s">
        <v>751</v>
      </c>
      <c r="D3" s="5" t="s">
        <v>752</v>
      </c>
      <c r="E3" s="5" t="s">
        <v>747</v>
      </c>
      <c r="F3" s="5" t="s">
        <v>753</v>
      </c>
    </row>
    <row r="4" spans="1:6" ht="32" x14ac:dyDescent="0.2">
      <c r="A4" s="5" t="s">
        <v>754</v>
      </c>
      <c r="B4" s="5" t="s">
        <v>755</v>
      </c>
      <c r="C4" s="5" t="s">
        <v>756</v>
      </c>
      <c r="D4" s="5" t="s">
        <v>757</v>
      </c>
      <c r="E4" s="5" t="s">
        <v>747</v>
      </c>
      <c r="F4" s="5" t="s">
        <v>758</v>
      </c>
    </row>
    <row r="5" spans="1:6" ht="32" x14ac:dyDescent="0.2">
      <c r="A5" s="5" t="s">
        <v>759</v>
      </c>
      <c r="B5" s="5" t="s">
        <v>760</v>
      </c>
      <c r="C5" s="5" t="s">
        <v>761</v>
      </c>
      <c r="D5" s="5" t="s">
        <v>757</v>
      </c>
      <c r="E5" s="5" t="s">
        <v>747</v>
      </c>
      <c r="F5" s="5" t="s">
        <v>112</v>
      </c>
    </row>
    <row r="6" spans="1:6" ht="32" x14ac:dyDescent="0.2">
      <c r="A6" s="5" t="s">
        <v>535</v>
      </c>
      <c r="B6" s="5" t="s">
        <v>762</v>
      </c>
      <c r="C6" s="5" t="s">
        <v>763</v>
      </c>
      <c r="D6" s="5" t="s">
        <v>764</v>
      </c>
      <c r="E6" s="5" t="s">
        <v>747</v>
      </c>
      <c r="F6" s="5" t="s">
        <v>765</v>
      </c>
    </row>
    <row r="7" spans="1:6" ht="32" x14ac:dyDescent="0.2">
      <c r="A7" s="5" t="s">
        <v>545</v>
      </c>
      <c r="B7" s="5" t="s">
        <v>766</v>
      </c>
      <c r="C7" s="5" t="s">
        <v>767</v>
      </c>
      <c r="D7" s="5" t="s">
        <v>768</v>
      </c>
      <c r="E7" s="5" t="s">
        <v>747</v>
      </c>
      <c r="F7" s="5" t="s">
        <v>769</v>
      </c>
    </row>
    <row r="8" spans="1:6" ht="16" x14ac:dyDescent="0.2">
      <c r="A8" s="5" t="s">
        <v>770</v>
      </c>
      <c r="B8" s="5" t="s">
        <v>771</v>
      </c>
      <c r="C8" s="5" t="s">
        <v>772</v>
      </c>
      <c r="D8" s="5" t="s">
        <v>773</v>
      </c>
      <c r="E8" s="5" t="s">
        <v>774</v>
      </c>
      <c r="F8" s="5" t="s">
        <v>775</v>
      </c>
    </row>
    <row r="9" spans="1:6" ht="32" x14ac:dyDescent="0.2">
      <c r="A9" s="5" t="s">
        <v>776</v>
      </c>
      <c r="B9" s="5" t="s">
        <v>777</v>
      </c>
      <c r="C9" s="5" t="s">
        <v>778</v>
      </c>
      <c r="D9" s="5" t="s">
        <v>779</v>
      </c>
      <c r="E9" s="5" t="s">
        <v>747</v>
      </c>
      <c r="F9" s="5" t="s">
        <v>246</v>
      </c>
    </row>
    <row r="10" spans="1:6" ht="32" x14ac:dyDescent="0.2">
      <c r="A10" s="5" t="s">
        <v>780</v>
      </c>
      <c r="B10" s="5" t="s">
        <v>781</v>
      </c>
      <c r="C10" s="5" t="s">
        <v>782</v>
      </c>
      <c r="D10" s="5" t="s">
        <v>783</v>
      </c>
      <c r="E10" s="5" t="s">
        <v>747</v>
      </c>
      <c r="F10" s="5" t="s">
        <v>784</v>
      </c>
    </row>
    <row r="11" spans="1:6" ht="16" x14ac:dyDescent="0.2">
      <c r="A11" s="5" t="s">
        <v>577</v>
      </c>
      <c r="B11" s="5" t="s">
        <v>785</v>
      </c>
      <c r="C11" s="5" t="s">
        <v>786</v>
      </c>
      <c r="D11" s="5" t="s">
        <v>787</v>
      </c>
      <c r="E11" s="5" t="s">
        <v>788</v>
      </c>
      <c r="F11" s="5" t="s">
        <v>789</v>
      </c>
    </row>
    <row r="12" spans="1:6" ht="16" x14ac:dyDescent="0.2">
      <c r="A12" s="5" t="s">
        <v>790</v>
      </c>
      <c r="B12" s="5" t="s">
        <v>791</v>
      </c>
      <c r="C12" s="5" t="s">
        <v>792</v>
      </c>
      <c r="D12" s="5" t="s">
        <v>793</v>
      </c>
      <c r="E12" s="5" t="s">
        <v>774</v>
      </c>
      <c r="F12" s="5" t="s">
        <v>323</v>
      </c>
    </row>
  </sheetData>
  <autoFilter ref="A1:F12" xr:uid="{00000000-0009-0000-0000-000009000000}"/>
  <pageMargins left="0.75" right="0.75" top="1" bottom="1" header="0.5" footer="0.5"/>
  <pageSetup fitToHeight="0"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12"/>
  <sheetViews>
    <sheetView showGridLines="0" workbookViewId="0">
      <pane ySplit="1" topLeftCell="A2" activePane="bottomLeft" state="frozen"/>
      <selection pane="bottomLeft"/>
    </sheetView>
  </sheetViews>
  <sheetFormatPr baseColWidth="10" defaultColWidth="8.83203125" defaultRowHeight="15" x14ac:dyDescent="0.2"/>
  <cols>
    <col min="1" max="1" width="12" customWidth="1"/>
    <col min="2" max="2" width="22" customWidth="1"/>
    <col min="3" max="3" width="24" customWidth="1"/>
    <col min="4" max="4" width="20" customWidth="1"/>
    <col min="5" max="6" width="38" customWidth="1"/>
    <col min="7" max="7" width="22" customWidth="1"/>
    <col min="8" max="8" width="14" customWidth="1"/>
  </cols>
  <sheetData>
    <row r="1" spans="1:8" ht="16" x14ac:dyDescent="0.2">
      <c r="A1" s="4" t="s">
        <v>794</v>
      </c>
      <c r="B1" s="4" t="s">
        <v>795</v>
      </c>
      <c r="C1" s="4" t="s">
        <v>796</v>
      </c>
      <c r="D1" s="4" t="s">
        <v>797</v>
      </c>
      <c r="E1" s="4" t="s">
        <v>660</v>
      </c>
      <c r="F1" s="4" t="s">
        <v>798</v>
      </c>
      <c r="G1" s="4" t="s">
        <v>668</v>
      </c>
      <c r="H1" s="4" t="s">
        <v>22</v>
      </c>
    </row>
    <row r="2" spans="1:8" ht="16" x14ac:dyDescent="0.2">
      <c r="A2" s="5" t="s">
        <v>799</v>
      </c>
      <c r="B2" s="5" t="s">
        <v>800</v>
      </c>
      <c r="C2" s="5" t="s">
        <v>801</v>
      </c>
      <c r="D2" s="5" t="s">
        <v>802</v>
      </c>
      <c r="E2" s="5" t="s">
        <v>803</v>
      </c>
      <c r="F2" s="5" t="s">
        <v>804</v>
      </c>
      <c r="G2" s="5" t="s">
        <v>583</v>
      </c>
      <c r="H2" s="5" t="s">
        <v>25</v>
      </c>
    </row>
    <row r="3" spans="1:8" ht="16" x14ac:dyDescent="0.2">
      <c r="A3" s="5" t="s">
        <v>805</v>
      </c>
      <c r="B3" s="5" t="s">
        <v>806</v>
      </c>
      <c r="C3" s="5" t="s">
        <v>807</v>
      </c>
      <c r="D3" s="5" t="s">
        <v>802</v>
      </c>
      <c r="E3" s="5" t="s">
        <v>808</v>
      </c>
      <c r="F3" s="5" t="s">
        <v>809</v>
      </c>
      <c r="G3" s="5" t="s">
        <v>583</v>
      </c>
      <c r="H3" s="5" t="s">
        <v>25</v>
      </c>
    </row>
    <row r="4" spans="1:8" ht="16" x14ac:dyDescent="0.2">
      <c r="A4" s="5" t="s">
        <v>810</v>
      </c>
      <c r="B4" s="5" t="s">
        <v>297</v>
      </c>
      <c r="C4" s="5" t="s">
        <v>811</v>
      </c>
      <c r="D4" s="5" t="s">
        <v>812</v>
      </c>
      <c r="E4" s="5" t="s">
        <v>813</v>
      </c>
      <c r="F4" s="5" t="s">
        <v>814</v>
      </c>
      <c r="G4" s="5" t="s">
        <v>296</v>
      </c>
      <c r="H4" s="5" t="s">
        <v>25</v>
      </c>
    </row>
    <row r="5" spans="1:8" ht="16" x14ac:dyDescent="0.2">
      <c r="A5" s="5" t="s">
        <v>815</v>
      </c>
      <c r="B5" s="5" t="s">
        <v>816</v>
      </c>
      <c r="C5" s="5" t="s">
        <v>817</v>
      </c>
      <c r="D5" s="5" t="s">
        <v>818</v>
      </c>
      <c r="E5" s="5" t="s">
        <v>819</v>
      </c>
      <c r="F5" s="5" t="s">
        <v>820</v>
      </c>
      <c r="G5" s="5" t="s">
        <v>302</v>
      </c>
      <c r="H5" s="5" t="s">
        <v>25</v>
      </c>
    </row>
    <row r="6" spans="1:8" ht="16" x14ac:dyDescent="0.2">
      <c r="A6" s="5" t="s">
        <v>821</v>
      </c>
      <c r="B6" s="5" t="s">
        <v>822</v>
      </c>
      <c r="C6" s="5" t="s">
        <v>696</v>
      </c>
      <c r="D6" s="5" t="s">
        <v>812</v>
      </c>
      <c r="E6" s="5" t="s">
        <v>823</v>
      </c>
      <c r="F6" s="5" t="s">
        <v>824</v>
      </c>
      <c r="G6" s="5" t="s">
        <v>607</v>
      </c>
      <c r="H6" s="5" t="s">
        <v>25</v>
      </c>
    </row>
    <row r="7" spans="1:8" ht="16" x14ac:dyDescent="0.2">
      <c r="A7" s="5" t="s">
        <v>825</v>
      </c>
      <c r="B7" s="5" t="s">
        <v>826</v>
      </c>
      <c r="C7" s="5" t="s">
        <v>827</v>
      </c>
      <c r="D7" s="5" t="s">
        <v>812</v>
      </c>
      <c r="E7" s="5" t="s">
        <v>828</v>
      </c>
      <c r="F7" s="5" t="s">
        <v>829</v>
      </c>
      <c r="G7" s="5" t="s">
        <v>830</v>
      </c>
      <c r="H7" s="5" t="s">
        <v>25</v>
      </c>
    </row>
    <row r="8" spans="1:8" ht="16" x14ac:dyDescent="0.2">
      <c r="A8" s="5" t="s">
        <v>831</v>
      </c>
      <c r="B8" s="5" t="s">
        <v>832</v>
      </c>
      <c r="C8" s="5" t="s">
        <v>833</v>
      </c>
      <c r="D8" s="5" t="s">
        <v>834</v>
      </c>
      <c r="E8" s="5" t="s">
        <v>835</v>
      </c>
      <c r="F8" s="5" t="s">
        <v>836</v>
      </c>
      <c r="G8" s="5" t="s">
        <v>837</v>
      </c>
      <c r="H8" s="5" t="s">
        <v>25</v>
      </c>
    </row>
    <row r="9" spans="1:8" ht="16" x14ac:dyDescent="0.2">
      <c r="A9" s="5" t="s">
        <v>838</v>
      </c>
      <c r="B9" s="5" t="s">
        <v>839</v>
      </c>
      <c r="C9" s="5" t="s">
        <v>840</v>
      </c>
      <c r="D9" s="5" t="s">
        <v>818</v>
      </c>
      <c r="E9" s="5" t="s">
        <v>841</v>
      </c>
      <c r="F9" s="5" t="s">
        <v>842</v>
      </c>
      <c r="G9" s="5" t="s">
        <v>271</v>
      </c>
      <c r="H9" s="5" t="s">
        <v>25</v>
      </c>
    </row>
    <row r="10" spans="1:8" ht="16" x14ac:dyDescent="0.2">
      <c r="A10" s="5" t="s">
        <v>843</v>
      </c>
      <c r="B10" s="5" t="s">
        <v>844</v>
      </c>
      <c r="C10" s="5" t="s">
        <v>681</v>
      </c>
      <c r="D10" s="5" t="s">
        <v>683</v>
      </c>
      <c r="E10" s="5" t="s">
        <v>845</v>
      </c>
      <c r="F10" s="5" t="s">
        <v>846</v>
      </c>
      <c r="G10" s="5" t="s">
        <v>166</v>
      </c>
      <c r="H10" s="5" t="s">
        <v>25</v>
      </c>
    </row>
    <row r="11" spans="1:8" ht="16" x14ac:dyDescent="0.2">
      <c r="A11" s="5" t="s">
        <v>847</v>
      </c>
      <c r="B11" s="5" t="s">
        <v>848</v>
      </c>
      <c r="C11" s="5" t="s">
        <v>849</v>
      </c>
      <c r="D11" s="5" t="s">
        <v>683</v>
      </c>
      <c r="E11" s="5" t="s">
        <v>850</v>
      </c>
      <c r="F11" s="5" t="s">
        <v>851</v>
      </c>
      <c r="G11" s="5" t="s">
        <v>177</v>
      </c>
      <c r="H11" s="5" t="s">
        <v>25</v>
      </c>
    </row>
    <row r="12" spans="1:8" ht="16" x14ac:dyDescent="0.2">
      <c r="A12" s="5" t="s">
        <v>852</v>
      </c>
      <c r="B12" s="5" t="s">
        <v>853</v>
      </c>
      <c r="C12" s="5" t="s">
        <v>854</v>
      </c>
      <c r="D12" s="5" t="s">
        <v>802</v>
      </c>
      <c r="E12" s="5" t="s">
        <v>855</v>
      </c>
      <c r="F12" s="5" t="s">
        <v>856</v>
      </c>
      <c r="G12" s="5" t="s">
        <v>291</v>
      </c>
      <c r="H12" s="5" t="s">
        <v>25</v>
      </c>
    </row>
  </sheetData>
  <autoFilter ref="A1:H12" xr:uid="{00000000-0009-0000-0000-00000A000000}"/>
  <conditionalFormatting sqref="H2:H12">
    <cfRule type="expression" dxfId="9" priority="1">
      <formula>$H2="Done"</formula>
    </cfRule>
    <cfRule type="expression" dxfId="8" priority="2">
      <formula>$H2="In Progress"</formula>
    </cfRule>
    <cfRule type="expression" dxfId="7" priority="3">
      <formula>$H2="Blocked"</formula>
    </cfRule>
    <cfRule type="expression" dxfId="6" priority="4">
      <formula>$H2="Review"</formula>
    </cfRule>
    <cfRule type="expression" dxfId="5" priority="5">
      <formula>$H2="Todo"</formula>
    </cfRule>
  </conditionalFormatting>
  <dataValidations count="1">
    <dataValidation type="list" allowBlank="1" sqref="H2:H12" xr:uid="{00000000-0002-0000-0A00-000000000000}">
      <formula1>"Todo,In Progress,Blocked,Review,Done"</formula1>
    </dataValidation>
  </dataValidations>
  <pageMargins left="0.75" right="0.75" top="1" bottom="1" header="0.5" footer="0.5"/>
  <pageSetup fitToHeight="0"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7"/>
  <sheetViews>
    <sheetView showGridLines="0" workbookViewId="0">
      <pane ySplit="1" topLeftCell="A2" activePane="bottomLeft" state="frozen"/>
      <selection pane="bottomLeft"/>
    </sheetView>
  </sheetViews>
  <sheetFormatPr baseColWidth="10" defaultColWidth="8.83203125" defaultRowHeight="15" x14ac:dyDescent="0.2"/>
  <cols>
    <col min="1" max="1" width="10" customWidth="1"/>
    <col min="2" max="2" width="12" customWidth="1"/>
    <col min="3" max="3" width="42" customWidth="1"/>
    <col min="4" max="4" width="14" customWidth="1"/>
    <col min="5" max="5" width="55" customWidth="1"/>
    <col min="6" max="6" width="16" customWidth="1"/>
    <col min="7" max="7" width="14" customWidth="1"/>
  </cols>
  <sheetData>
    <row r="1" spans="1:7" ht="16" x14ac:dyDescent="0.2">
      <c r="A1" s="4" t="s">
        <v>857</v>
      </c>
      <c r="B1" s="4" t="s">
        <v>858</v>
      </c>
      <c r="C1" s="4" t="s">
        <v>859</v>
      </c>
      <c r="D1" s="4" t="s">
        <v>860</v>
      </c>
      <c r="E1" s="4" t="s">
        <v>861</v>
      </c>
      <c r="F1" s="4" t="s">
        <v>426</v>
      </c>
      <c r="G1" s="4" t="s">
        <v>22</v>
      </c>
    </row>
    <row r="2" spans="1:7" ht="16" x14ac:dyDescent="0.2">
      <c r="A2" s="5" t="s">
        <v>862</v>
      </c>
      <c r="B2" s="5" t="s">
        <v>863</v>
      </c>
      <c r="C2" s="5" t="s">
        <v>864</v>
      </c>
      <c r="D2" s="5" t="s">
        <v>52</v>
      </c>
      <c r="E2" s="5" t="s">
        <v>865</v>
      </c>
      <c r="F2" s="5" t="s">
        <v>122</v>
      </c>
      <c r="G2" s="5" t="s">
        <v>866</v>
      </c>
    </row>
    <row r="3" spans="1:7" ht="32" x14ac:dyDescent="0.2">
      <c r="A3" s="5" t="s">
        <v>867</v>
      </c>
      <c r="B3" s="5" t="s">
        <v>863</v>
      </c>
      <c r="C3" s="5" t="s">
        <v>868</v>
      </c>
      <c r="D3" s="5" t="s">
        <v>67</v>
      </c>
      <c r="E3" s="5" t="s">
        <v>869</v>
      </c>
      <c r="F3" s="5" t="s">
        <v>64</v>
      </c>
      <c r="G3" s="5" t="s">
        <v>866</v>
      </c>
    </row>
    <row r="4" spans="1:7" ht="32" x14ac:dyDescent="0.2">
      <c r="A4" s="5" t="s">
        <v>870</v>
      </c>
      <c r="B4" s="5" t="s">
        <v>863</v>
      </c>
      <c r="C4" s="5" t="s">
        <v>871</v>
      </c>
      <c r="D4" s="5" t="s">
        <v>168</v>
      </c>
      <c r="E4" s="5" t="s">
        <v>872</v>
      </c>
      <c r="F4" s="5" t="s">
        <v>390</v>
      </c>
      <c r="G4" s="5" t="s">
        <v>866</v>
      </c>
    </row>
    <row r="5" spans="1:7" ht="16" x14ac:dyDescent="0.2">
      <c r="A5" s="5" t="s">
        <v>873</v>
      </c>
      <c r="B5" s="5" t="s">
        <v>863</v>
      </c>
      <c r="C5" s="5" t="s">
        <v>874</v>
      </c>
      <c r="D5" s="5" t="s">
        <v>67</v>
      </c>
      <c r="E5" s="5" t="s">
        <v>875</v>
      </c>
      <c r="F5" s="5" t="s">
        <v>390</v>
      </c>
      <c r="G5" s="5" t="s">
        <v>866</v>
      </c>
    </row>
    <row r="6" spans="1:7" ht="16" x14ac:dyDescent="0.2">
      <c r="A6" s="5" t="s">
        <v>876</v>
      </c>
      <c r="B6" s="5" t="s">
        <v>877</v>
      </c>
      <c r="C6" s="5" t="s">
        <v>878</v>
      </c>
      <c r="D6" s="5" t="s">
        <v>67</v>
      </c>
      <c r="E6" s="5" t="s">
        <v>879</v>
      </c>
      <c r="F6" s="5" t="s">
        <v>880</v>
      </c>
      <c r="G6" s="5" t="s">
        <v>881</v>
      </c>
    </row>
    <row r="7" spans="1:7" ht="16" x14ac:dyDescent="0.2">
      <c r="A7" s="5" t="s">
        <v>882</v>
      </c>
      <c r="B7" s="5" t="s">
        <v>877</v>
      </c>
      <c r="C7" s="5" t="s">
        <v>883</v>
      </c>
      <c r="D7" s="5" t="s">
        <v>67</v>
      </c>
      <c r="E7" s="5" t="s">
        <v>884</v>
      </c>
      <c r="F7" s="5" t="s">
        <v>80</v>
      </c>
      <c r="G7" s="5" t="s">
        <v>881</v>
      </c>
    </row>
  </sheetData>
  <autoFilter ref="A1:G7" xr:uid="{00000000-0009-0000-0000-00000B000000}"/>
  <pageMargins left="0.75" right="0.75" top="1" bottom="1" header="0.5" footer="0.5"/>
  <pageSetup fitToHeight="0"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11"/>
  <sheetViews>
    <sheetView showGridLines="0" workbookViewId="0">
      <pane ySplit="1" topLeftCell="A2" activePane="bottomLeft" state="frozen"/>
      <selection pane="bottomLeft"/>
    </sheetView>
  </sheetViews>
  <sheetFormatPr baseColWidth="10" defaultColWidth="8.83203125" defaultRowHeight="15" x14ac:dyDescent="0.2"/>
  <cols>
    <col min="1" max="1" width="18" customWidth="1"/>
    <col min="2" max="2" width="45" customWidth="1"/>
    <col min="3" max="3" width="18" customWidth="1"/>
    <col min="4" max="4" width="16" customWidth="1"/>
    <col min="5" max="5" width="14" customWidth="1"/>
    <col min="6" max="6" width="32" customWidth="1"/>
  </cols>
  <sheetData>
    <row r="1" spans="1:6" ht="16" x14ac:dyDescent="0.2">
      <c r="A1" s="4" t="s">
        <v>658</v>
      </c>
      <c r="B1" s="4" t="s">
        <v>885</v>
      </c>
      <c r="C1" s="4" t="s">
        <v>886</v>
      </c>
      <c r="D1" s="4" t="s">
        <v>426</v>
      </c>
      <c r="E1" s="4" t="s">
        <v>22</v>
      </c>
      <c r="F1" s="4" t="s">
        <v>887</v>
      </c>
    </row>
    <row r="2" spans="1:6" ht="16" x14ac:dyDescent="0.2">
      <c r="A2" s="5" t="s">
        <v>122</v>
      </c>
      <c r="B2" s="5" t="s">
        <v>888</v>
      </c>
      <c r="C2" s="5" t="s">
        <v>889</v>
      </c>
      <c r="D2" s="5" t="s">
        <v>122</v>
      </c>
      <c r="E2" s="5" t="s">
        <v>25</v>
      </c>
      <c r="F2" s="5"/>
    </row>
    <row r="3" spans="1:6" ht="16" x14ac:dyDescent="0.2">
      <c r="A3" s="5" t="s">
        <v>88</v>
      </c>
      <c r="B3" s="5" t="s">
        <v>890</v>
      </c>
      <c r="C3" s="5" t="s">
        <v>889</v>
      </c>
      <c r="D3" s="5" t="s">
        <v>64</v>
      </c>
      <c r="E3" s="5" t="s">
        <v>25</v>
      </c>
      <c r="F3" s="5"/>
    </row>
    <row r="4" spans="1:6" ht="16" x14ac:dyDescent="0.2">
      <c r="A4" s="5" t="s">
        <v>19</v>
      </c>
      <c r="B4" s="5" t="s">
        <v>891</v>
      </c>
      <c r="C4" s="5" t="s">
        <v>889</v>
      </c>
      <c r="D4" s="5" t="s">
        <v>182</v>
      </c>
      <c r="E4" s="5" t="s">
        <v>25</v>
      </c>
      <c r="F4" s="5"/>
    </row>
    <row r="5" spans="1:6" ht="16" x14ac:dyDescent="0.2">
      <c r="A5" s="5" t="s">
        <v>892</v>
      </c>
      <c r="B5" s="5" t="s">
        <v>893</v>
      </c>
      <c r="C5" s="5" t="s">
        <v>889</v>
      </c>
      <c r="D5" s="5" t="s">
        <v>59</v>
      </c>
      <c r="E5" s="5" t="s">
        <v>25</v>
      </c>
      <c r="F5" s="5"/>
    </row>
    <row r="6" spans="1:6" ht="16" x14ac:dyDescent="0.2">
      <c r="A6" s="5" t="s">
        <v>894</v>
      </c>
      <c r="B6" s="5" t="s">
        <v>895</v>
      </c>
      <c r="C6" s="5" t="s">
        <v>889</v>
      </c>
      <c r="D6" s="5" t="s">
        <v>182</v>
      </c>
      <c r="E6" s="5" t="s">
        <v>25</v>
      </c>
      <c r="F6" s="5"/>
    </row>
    <row r="7" spans="1:6" ht="16" x14ac:dyDescent="0.2">
      <c r="A7" s="5" t="s">
        <v>277</v>
      </c>
      <c r="B7" s="5" t="s">
        <v>896</v>
      </c>
      <c r="C7" s="5" t="s">
        <v>897</v>
      </c>
      <c r="D7" s="5" t="s">
        <v>182</v>
      </c>
      <c r="E7" s="5" t="s">
        <v>25</v>
      </c>
      <c r="F7" s="5"/>
    </row>
    <row r="8" spans="1:6" ht="16" x14ac:dyDescent="0.2">
      <c r="A8" s="5" t="s">
        <v>335</v>
      </c>
      <c r="B8" s="5" t="s">
        <v>898</v>
      </c>
      <c r="C8" s="5" t="s">
        <v>889</v>
      </c>
      <c r="D8" s="5" t="s">
        <v>339</v>
      </c>
      <c r="E8" s="5" t="s">
        <v>25</v>
      </c>
      <c r="F8" s="5"/>
    </row>
    <row r="9" spans="1:6" ht="16" x14ac:dyDescent="0.2">
      <c r="A9" s="5" t="s">
        <v>358</v>
      </c>
      <c r="B9" s="5" t="s">
        <v>899</v>
      </c>
      <c r="C9" s="5" t="s">
        <v>889</v>
      </c>
      <c r="D9" s="5" t="s">
        <v>55</v>
      </c>
      <c r="E9" s="5" t="s">
        <v>25</v>
      </c>
      <c r="F9" s="5"/>
    </row>
    <row r="10" spans="1:6" ht="16" x14ac:dyDescent="0.2">
      <c r="A10" s="5" t="s">
        <v>358</v>
      </c>
      <c r="B10" s="5" t="s">
        <v>900</v>
      </c>
      <c r="C10" s="5" t="s">
        <v>889</v>
      </c>
      <c r="D10" s="5" t="s">
        <v>55</v>
      </c>
      <c r="E10" s="5" t="s">
        <v>25</v>
      </c>
      <c r="F10" s="5"/>
    </row>
    <row r="11" spans="1:6" ht="16" x14ac:dyDescent="0.2">
      <c r="A11" s="5" t="s">
        <v>901</v>
      </c>
      <c r="B11" s="5" t="s">
        <v>902</v>
      </c>
      <c r="C11" s="5" t="s">
        <v>897</v>
      </c>
      <c r="D11" s="5" t="s">
        <v>390</v>
      </c>
      <c r="E11" s="5" t="s">
        <v>25</v>
      </c>
      <c r="F11" s="5"/>
    </row>
  </sheetData>
  <autoFilter ref="A1:F11" xr:uid="{00000000-0009-0000-0000-00000C000000}"/>
  <conditionalFormatting sqref="E2:E11">
    <cfRule type="expression" dxfId="4" priority="1">
      <formula>$E2="Done"</formula>
    </cfRule>
    <cfRule type="expression" dxfId="3" priority="2">
      <formula>$E2="In Progress"</formula>
    </cfRule>
    <cfRule type="expression" dxfId="2" priority="3">
      <formula>$E2="Blocked"</formula>
    </cfRule>
    <cfRule type="expression" dxfId="1" priority="4">
      <formula>$E2="Review"</formula>
    </cfRule>
    <cfRule type="expression" dxfId="0" priority="5">
      <formula>$E2="Todo"</formula>
    </cfRule>
  </conditionalFormatting>
  <dataValidations count="1">
    <dataValidation type="list" allowBlank="1" sqref="E2:E11" xr:uid="{00000000-0002-0000-0C00-000000000000}">
      <formula1>"Todo,In Progress,Blocked,Review,Done"</formula1>
    </dataValidation>
  </dataValidations>
  <pageMargins left="0.75" right="0.75" top="1" bottom="1" header="0.5" footer="0.5"/>
  <pageSetup fitToHeight="0"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Start Here</vt:lpstr>
      <vt:lpstr>Dashboard</vt:lpstr>
      <vt:lpstr>Backlog</vt:lpstr>
      <vt:lpstr>Sprint Board</vt:lpstr>
      <vt:lpstr>Timeline + Gantt</vt:lpstr>
      <vt:lpstr>Dependencies</vt:lpstr>
      <vt:lpstr>IntelliJ Coding Tasks</vt:lpstr>
      <vt:lpstr>File-Class Map</vt:lpstr>
      <vt:lpstr>API Contracts</vt:lpstr>
      <vt:lpstr>DB Schema + RLS</vt:lpstr>
      <vt:lpstr>UI Screens</vt:lpstr>
      <vt:lpstr>Risks &amp; Decisions</vt:lpstr>
      <vt:lpstr>Release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IAMONIT Project Control Workbook</dc:title>
  <dc:creator>OpenAI ChatGPT</dc:creator>
  <cp:lastModifiedBy>Andualem Alemu</cp:lastModifiedBy>
  <dcterms:created xsi:type="dcterms:W3CDTF">2026-05-09T20:04:27Z</dcterms:created>
  <dcterms:modified xsi:type="dcterms:W3CDTF">2026-08-04T23:59:53Z</dcterms:modified>
</cp:coreProperties>
</file>