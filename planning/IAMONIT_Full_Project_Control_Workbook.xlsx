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660" windowWidth="34560" windowHeight="20060" activeTab="3"/>
  </bookViews>
  <sheets>
    <sheet sheetId="1" name="Start Here" state="visible" r:id="rId4"/>
    <sheet sheetId="2" name="Dashboard" state="visible" r:id="rId5"/>
    <sheet sheetId="3" name="Backlog" state="visible" r:id="rId6"/>
    <sheet sheetId="4" name="Sprint Board" state="visible" r:id="rId7"/>
    <sheet sheetId="5" name="Timeline + Gantt" state="visible" r:id="rId8"/>
    <sheet sheetId="6" name="Dependencies" state="visible" r:id="rId9"/>
    <sheet sheetId="7" name="IntelliJ Coding Tasks" state="visible" r:id="rId10"/>
    <sheet sheetId="8" name="File-Class Map" state="visible" r:id="rId11"/>
    <sheet sheetId="9" name="API Contracts" state="visible" r:id="rId12"/>
    <sheet sheetId="10" name="DB Schema + RLS" state="visible" r:id="rId13"/>
    <sheet sheetId="11" name="UI Screens" state="visible" r:id="rId14"/>
    <sheet sheetId="12" name="Risks &amp; Decisions" state="visible" r:id="rId15"/>
    <sheet sheetId="13" name="Release Checklist" state="visible" r:id="rId16"/>
  </sheets>
  <definedNames>
    <definedName name="_xlnm._FilterDatabase">'UI Screens'!$A$1:$H$12</definedName>
  </definedNames>
  <calcPr calcId="171027"/>
</workbook>
</file>

<file path=xl/sharedStrings.xml><?xml version="1.0" encoding="utf-8"?>
<sst xmlns="http://schemas.openxmlformats.org/spreadsheetml/2006/main" count="3563" uniqueCount="1110">
  <si>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</si>
  <si>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</si>
  <si>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</si>
  <si>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</si>
  <si>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</si>
  <si>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</si>
  <si>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</si>
  <si>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</si>
  <si>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</si>
  <si>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</si>
  <si>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</si>
  <si>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</si>
  <si>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</si>
  <si>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</si>
  <si>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</si>
  <si>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</si>
  <si>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</si>
  <si>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</si>
  <si>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</si>
  <si>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</si>
  <si>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</si>
  <si>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</si>
  <si>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</si>
  <si>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</si>
  <si>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</si>
  <si>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</si>
  <si>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</si>
  <si>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</si>
  <si>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</si>
  <si>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</si>
  <si>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</si>
  <si>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</si>
  <si>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</si>
  <si>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</si>
  <si>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</si>
  <si>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</si>
  <si>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</si>
  <si>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</si>
  <si>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</si>
  <si>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</si>
  <si>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</si>
  <si>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</si>
  <si>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</si>
  <si>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</si>
  <si>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</si>
  <si>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</si>
  <si>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</si>
  <si>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</si>
  <si>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</si>
  <si>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</si>
  <si>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</si>
  <si>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</si>
  <si>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</si>
  <si>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</si>
  <si>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</si>
  <si>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</si>
  <si>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</si>
  <si>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</si>
  <si>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</si>
  <si>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</si>
  <si>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</si>
  <si>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Frontend</t>
  </si>
  <si>
    <t>apps/web/package.json; apps/web/app/layout.tsx; apps/web/tailwind.config.ts</t>
  </si>
  <si>
    <t>IAM-003</t>
  </si>
  <si>
    <t>Create NestJS backend</t>
  </si>
  <si>
    <t>Initialize NestJS TypeScript API service with modules folder.</t>
  </si>
  <si>
    <t>API starts locally; health endpoint returns OK; Swagger enabled</t>
  </si>
  <si>
    <t>Backend</t>
  </si>
  <si>
    <t>apps/api/src/main.ts; apps/api/src/app.module.ts</t>
  </si>
  <si>
    <t>IAM-004</t>
  </si>
  <si>
    <t>Configure environment management</t>
  </si>
  <si>
    <t>High</t>
  </si>
  <si>
    <t>Create .env examples and config validation for frontend/backend.</t>
  </si>
  <si>
    <t>No secrets committed; env schema validates required values</t>
  </si>
  <si>
    <t>IAM-002,IAM-003</t>
  </si>
  <si>
    <t>apps/api/src/config/env.ts; apps/web/.env.example</t>
  </si>
  <si>
    <t>IAM-005</t>
  </si>
  <si>
    <t>Setup code quality tools</t>
  </si>
  <si>
    <t>Add ESLint, Prettier, lint scripts, formatting rules.</t>
  </si>
  <si>
    <t>npm run lint passes; consistent formatting</t>
  </si>
  <si>
    <t>apps/web/.eslintrc; apps/api/.eslintrc</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</si>
  <si>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</si>
  <si>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</si>
  <si>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</si>
  <si>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</si>
  <si>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</si>
  <si>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</si>
  <si>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</si>
  <si>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</si>
  <si>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</si>
  <si>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</si>
  <si>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</si>
  <si>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</si>
  <si>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</si>
  <si>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</si>
  <si>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</si>
  <si>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</si>
  <si>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</si>
  <si>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apps/api/src/modules/auth/dto/register.dto.ts; login.dto.ts</t>
  </si>
  <si>
    <t>IAM-009</t>
  </si>
  <si>
    <t>Auth UI shell</t>
  </si>
  <si>
    <t>Create login/register pages with role selection.</t>
  </si>
  <si>
    <t>User can navigate between login/register; form validation visible</t>
  </si>
  <si>
    <t>apps/web/app/(auth)/login/page.tsx; apps/web/app/(auth)/register/page.tsx</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</si>
  <si>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</si>
  <si>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</si>
  <si>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</si>
  <si>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</si>
  <si>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</si>
  <si>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</si>
  <si>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</si>
  <si>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</si>
  <si>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</si>
  <si>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</si>
  <si>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</si>
  <si>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</si>
  <si>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</si>
  <si>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</si>
  <si>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</si>
  <si>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</si>
  <si>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</si>
  <si>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</si>
  <si>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</si>
  <si>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</si>
  <si>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</si>
  <si>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</si>
  <si>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</si>
  <si>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</si>
  <si>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</si>
  <si>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</si>
  <si>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</si>
  <si>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</si>
  <si>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</si>
  <si>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</si>
  <si>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</si>
  <si>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</si>
  <si>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</si>
  <si>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</si>
  <si>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apps/api/src/modules/auth/auth.service.ts; tenants.service.ts</t>
  </si>
  <si>
    <t>IAM-016</t>
  </si>
  <si>
    <t>Implement login flow</t>
  </si>
  <si>
    <t>Backend validates credentials and returns session/JWT context.</t>
  </si>
  <si>
    <t>Valid login works; invalid login returns safe error; tenant_id included</t>
  </si>
  <si>
    <t>IAM-008,IAM-011</t>
  </si>
  <si>
    <t>apps/api/src/modules/auth/auth.controller.ts; jwt.strategy.ts</t>
  </si>
  <si>
    <t>IAM-017</t>
  </si>
  <si>
    <t>Frontend Auth</t>
  </si>
  <si>
    <t>Connect login/register UI to API</t>
  </si>
  <si>
    <t>Wire forms to auth endpoints and store session safely.</t>
  </si>
  <si>
    <t>Successful login redirects; errors displayed; loading states exist</t>
  </si>
  <si>
    <t>IAM-009,IAM-015,IAM-016</t>
  </si>
  <si>
    <t>apps/web/lib/auth.ts; apps/web/app/(auth)/*</t>
  </si>
  <si>
    <t>IAM-018</t>
  </si>
  <si>
    <t>Authorization</t>
  </si>
  <si>
    <t>Create auth guard and role guard</t>
  </si>
  <si>
    <t>Protect backend routes by JWT and roles.</t>
  </si>
  <si>
    <t>Unauthorized blocked; forbidden roles blocked</t>
  </si>
  <si>
    <t>apps/api/src/common/guards/auth.guard.ts; roles.guard.ts</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</si>
  <si>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</si>
  <si>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</si>
  <si>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</si>
  <si>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</si>
  <si>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</si>
  <si>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</si>
  <si>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</si>
  <si>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</si>
  <si>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</si>
  <si>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</si>
  <si>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</si>
  <si>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apps/api/src/modules/invitations/invitations.controller.ts; invitations.service.ts</t>
  </si>
  <si>
    <t>IAM-021</t>
  </si>
  <si>
    <t>Build accept invitation API</t>
  </si>
  <si>
    <t>User can accept invitation and join tenant.</t>
  </si>
  <si>
    <t>Valid token assigns tenant; expired token rejected</t>
  </si>
  <si>
    <t>apps/api/src/modules/invitations/invitations.service.ts</t>
  </si>
  <si>
    <t>IAM-022</t>
  </si>
  <si>
    <t>User Management</t>
  </si>
  <si>
    <t>Build users list API</t>
  </si>
  <si>
    <t>Admin can list users in same tenant.</t>
  </si>
  <si>
    <t>Only tenant users returned; pagination exists</t>
  </si>
  <si>
    <t>IAM-018,IAM-074</t>
  </si>
  <si>
    <t>apps/api/src/modules/users/users.controller.ts; users.service.ts</t>
  </si>
  <si>
    <t>IAM-023</t>
  </si>
  <si>
    <t>Build user management UI</t>
  </si>
  <si>
    <t>Medium</t>
  </si>
  <si>
    <t>Users page with invite modal and role display.</t>
  </si>
  <si>
    <t>Admin sees users; invite modal works; validation shown</t>
  </si>
  <si>
    <t>IAM-017,IAM-020,IAM-022</t>
  </si>
  <si>
    <t>apps/web/app/(dashboard)/users/page.tsx; components/users/InviteUserModal.tsx</t>
  </si>
  <si>
    <t>IAM-024</t>
  </si>
  <si>
    <t>Layout</t>
  </si>
  <si>
    <t>Create dashboard layout</t>
  </si>
  <si>
    <t>Sidebar, topbar, tenant name, user menu, responsive layout.</t>
  </si>
  <si>
    <t>Mobile and desktop usable; navigation links work</t>
  </si>
  <si>
    <t>apps/web/app/(dashboard)/layout.tsx; components/layout/Sidebar.tsx; Topbar.tsx</t>
  </si>
  <si>
    <t>IAM-025</t>
  </si>
  <si>
    <t>Profile</t>
  </si>
  <si>
    <t>Build transporter profile API/UI</t>
  </si>
  <si>
    <t>Allow admin to view/update company dispatch and broker info.</t>
  </si>
  <si>
    <t>Profile saves; audit fields update; tenant isolated</t>
  </si>
  <si>
    <t>Fullstack</t>
  </si>
  <si>
    <t>IAM-012,IAM-018,IAM-024</t>
  </si>
  <si>
    <t>apps/api/src/modules/tenants/*; apps/web/app/(dashboard)/settings/company/page.tsx</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</si>
  <si>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</si>
  <si>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</si>
  <si>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</si>
  <si>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</si>
  <si>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</si>
  <si>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</si>
  <si>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</si>
  <si>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</si>
  <si>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</si>
  <si>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</si>
  <si>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</si>
  <si>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</si>
  <si>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</si>
  <si>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</si>
  <si>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</si>
  <si>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</si>
  <si>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apps/api/src/modules/tasks/dto/create-task.dto.ts; update-task-status.dto.ts</t>
  </si>
  <si>
    <t>IAM-029</t>
  </si>
  <si>
    <t>Build create task API</t>
  </si>
  <si>
    <t>Transporter creates task/work order and assigns car puller.</t>
  </si>
  <si>
    <t>Task created; assigned user must be in tenant; response includes task ID</t>
  </si>
  <si>
    <t>IAM-018,IAM-026,IAM-028</t>
  </si>
  <si>
    <t>apps/api/src/modules/tasks/tasks.controller.ts; tasks.service.ts</t>
  </si>
  <si>
    <t>IAM-030</t>
  </si>
  <si>
    <t>Build task listing API</t>
  </si>
  <si>
    <t>Return tasks filtered by tenant and role.</t>
  </si>
  <si>
    <t>Transporter sees tenant tasks; car puller sees assigned tasks only</t>
  </si>
  <si>
    <t>apps/api/src/modules/tasks/tasks.repository.ts</t>
  </si>
  <si>
    <t>IAM-031</t>
  </si>
  <si>
    <t>Build task detail API</t>
  </si>
  <si>
    <t>Return task, assignee, updates, history.</t>
  </si>
  <si>
    <t>Only authorized tenant users can view; missing task returns 404</t>
  </si>
  <si>
    <t>apps/api/src/modules/tasks/tasks.service.ts</t>
  </si>
  <si>
    <t>IAM-032</t>
  </si>
  <si>
    <t>Build status transition API</t>
  </si>
  <si>
    <t>Allow pending→accepted→in_progress→paused/completed→closed rules.</t>
  </si>
  <si>
    <t>Invalid transitions rejected; history row created</t>
  </si>
  <si>
    <t>IAM-027,IAM-031</t>
  </si>
  <si>
    <t>apps/api/src/modules/tasks/task-status.service.ts</t>
  </si>
  <si>
    <t>IAM-033</t>
  </si>
  <si>
    <t>Tasks UI</t>
  </si>
  <si>
    <t>Build task list page</t>
  </si>
  <si>
    <t>Task board/list with status filters and priority badges.</t>
  </si>
  <si>
    <t>Filters work; pagination/search works; tenant data only</t>
  </si>
  <si>
    <t>IAM-024,IAM-030</t>
  </si>
  <si>
    <t>apps/web/app/(dashboard)/tasks/page.tsx; components/tasks/TaskCard.tsx</t>
  </si>
  <si>
    <t>IAM-034</t>
  </si>
  <si>
    <t>Build create task page</t>
  </si>
  <si>
    <t>Form for work order, notes, selected car puller, priority.</t>
  </si>
  <si>
    <t>Form validates; task created; redirects to detail</t>
  </si>
  <si>
    <t>IAM-023,IAM-029</t>
  </si>
  <si>
    <t>apps/web/app/(dashboard)/tasks/new/page.tsx; components/tasks/CreateTaskForm.tsx</t>
  </si>
  <si>
    <t>IAM-035</t>
  </si>
  <si>
    <t>Build task detail page</t>
  </si>
  <si>
    <t>Show task info, status, assignment, and timeline placeholder.</t>
  </si>
  <si>
    <t>Task detail loads; status actions visible by role</t>
  </si>
  <si>
    <t>IAM-031,IAM-033</t>
  </si>
  <si>
    <t>apps/web/app/(dashboard)/tasks/[id]/page.tsx; components/tasks/TaskDetail.tsx</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</si>
  <si>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</si>
  <si>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</si>
  <si>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</si>
  <si>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</si>
  <si>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</si>
  <si>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</si>
  <si>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</si>
  <si>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</si>
  <si>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</si>
  <si>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</si>
  <si>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</si>
  <si>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</si>
  <si>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apps/api/src/modules/uploads/uploads.controller.ts; uploads.service.ts</t>
  </si>
  <si>
    <t>IAM-038</t>
  </si>
  <si>
    <t>Build file metadata table/API</t>
  </si>
  <si>
    <t>Store file metadata linked to task/user.</t>
  </si>
  <si>
    <t>File metadata created; ownership tracked; RLS enabled</t>
  </si>
  <si>
    <t>supabase/migrations/038_files.sql; apps/api/src/modules/uploads/file-metadata.service.ts</t>
  </si>
  <si>
    <t>IAM-039</t>
  </si>
  <si>
    <t>Uploads UI</t>
  </si>
  <si>
    <t>Build reusable upload component</t>
  </si>
  <si>
    <t>Drag/drop or button upload with progress and validation.</t>
  </si>
  <si>
    <t>PDF/image/video upload; progress bar; errors visible</t>
  </si>
  <si>
    <t>apps/web/components/uploads/FileUploader.tsx</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</si>
  <si>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</si>
  <si>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</si>
  <si>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</si>
  <si>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</si>
  <si>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</si>
  <si>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</si>
  <si>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</si>
  <si>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</si>
  <si>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</si>
  <si>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</si>
  <si>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</si>
  <si>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apps/api/src/modules/task-updates/task-updates.controller.ts; service.ts</t>
  </si>
  <si>
    <t>IAM-042</t>
  </si>
  <si>
    <t>Build task timeline UI</t>
  </si>
  <si>
    <t>Display notes, photos, videos, status history in chronological feed.</t>
  </si>
  <si>
    <t>Timeline sorted; media preview; user names visible</t>
  </si>
  <si>
    <t>IAM-035,IAM-039,IAM-041</t>
  </si>
  <si>
    <t>apps/web/components/tasks/TaskTimeline.tsx; TaskUpdateComposer.tsx</t>
  </si>
  <si>
    <t>IAM-043</t>
  </si>
  <si>
    <t>Build car puller execution screen</t>
  </si>
  <si>
    <t>Mobile-first accept/start/pause/complete with upload proof.</t>
  </si>
  <si>
    <t>Large buttons; works on phone; status rules enforced</t>
  </si>
  <si>
    <t>IAM-032,IAM-042</t>
  </si>
  <si>
    <t>apps/web/app/(dashboard)/my-tasks/[id]/page.tsx</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</si>
  <si>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</si>
  <si>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</si>
  <si>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</si>
  <si>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</si>
  <si>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</si>
  <si>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</si>
  <si>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</si>
  <si>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</si>
  <si>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</si>
  <si>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</si>
  <si>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</si>
  <si>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apps/api/src/modules/notifications/notifications.service.ts</t>
  </si>
  <si>
    <t>IAM-046</t>
  </si>
  <si>
    <t>Build notifications API</t>
  </si>
  <si>
    <t>List and mark notifications read.</t>
  </si>
  <si>
    <t>Unread/read works; users see only their notifications</t>
  </si>
  <si>
    <t>apps/api/src/modules/notifications/notifications.controller.ts</t>
  </si>
  <si>
    <t>IAM-047</t>
  </si>
  <si>
    <t>Build notification dropdown UI</t>
  </si>
  <si>
    <t>Topbar notification bell with unread badge.</t>
  </si>
  <si>
    <t>Badge count correct; mark read works</t>
  </si>
  <si>
    <t>IAM-024,IAM-046</t>
  </si>
  <si>
    <t>apps/web/components/notifications/NotificationBell.tsx</t>
  </si>
  <si>
    <t>IAM-048</t>
  </si>
  <si>
    <t>Dashboard</t>
  </si>
  <si>
    <t>Build transporter dashboard</t>
  </si>
  <si>
    <t>Cards for active/completed/pending tasks and recent updates.</t>
  </si>
  <si>
    <t>KPIs accurate; recent task list links to detail</t>
  </si>
  <si>
    <t>IAM-030,IAM-042</t>
  </si>
  <si>
    <t>apps/web/app/(dashboard)/page.tsx; components/dashboard/KpiCard.tsx</t>
  </si>
  <si>
    <t>IAM-049</t>
  </si>
  <si>
    <t>Build car puller dashboard</t>
  </si>
  <si>
    <t>My pending/active/completed tasks with quick actions.</t>
  </si>
  <si>
    <t>Assigned tasks only; action buttons work</t>
  </si>
  <si>
    <t>apps/web/app/(dashboard)/my-tasks/page.tsx</t>
  </si>
  <si>
    <t>IAM-050</t>
  </si>
  <si>
    <t>Search &amp; Filters</t>
  </si>
  <si>
    <t>Implement task search/filter API</t>
  </si>
  <si>
    <t>Search by task ID, company, car puller, status, date range.</t>
  </si>
  <si>
    <t>Filters combine correctly; pagination still works</t>
  </si>
  <si>
    <t>apps/api/src/modules/tasks/task-query.dto.ts</t>
  </si>
  <si>
    <t>IAM-051</t>
  </si>
  <si>
    <t>Implement frontend filters</t>
  </si>
  <si>
    <t>Add task status/search/date filters to task list.</t>
  </si>
  <si>
    <t>Filters update list; clear filters works</t>
  </si>
  <si>
    <t>IAM-050,IAM-033</t>
  </si>
  <si>
    <t>apps/web/components/tasks/TaskFilters.tsx</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</si>
  <si>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</si>
  <si>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</si>
  <si>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</si>
  <si>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</si>
  <si>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</si>
  <si>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</si>
  <si>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</si>
  <si>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</si>
  <si>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</si>
  <si>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</si>
  <si>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</si>
  <si>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</si>
  <si>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</si>
  <si>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</si>
  <si>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</si>
  <si>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</si>
  <si>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</si>
  <si>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</si>
  <si>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</si>
  <si>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</si>
  <si>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</si>
  <si>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</si>
  <si>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</si>
  <si>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</si>
  <si>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</si>
  <si>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apps/api/test/auth.spec.ts; tenants.spec.ts</t>
  </si>
  <si>
    <t>IAM-056</t>
  </si>
  <si>
    <t>Backend tests for tasks/uploads</t>
  </si>
  <si>
    <t>Test task CRUD/status/upload metadata.</t>
  </si>
  <si>
    <t>Status transitions and upload validation covered</t>
  </si>
  <si>
    <t>IAM-032,IAM-041</t>
  </si>
  <si>
    <t>apps/api/test/tasks.spec.ts; uploads.spec.ts</t>
  </si>
  <si>
    <t>IAM-057</t>
  </si>
  <si>
    <t>Frontend component tests</t>
  </si>
  <si>
    <t>Test login, create task, task detail, upload component.</t>
  </si>
  <si>
    <t>Critical components covered; tests pass</t>
  </si>
  <si>
    <t>IAM-039,IAM-042</t>
  </si>
  <si>
    <t>apps/web/__tests__/*</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</si>
  <si>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</si>
  <si>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</si>
  <si>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</si>
  <si>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</si>
  <si>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</si>
  <si>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</si>
  <si>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</si>
  <si>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</si>
  <si>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</si>
  <si>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</si>
  <si>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</si>
  <si>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</si>
  <si>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</si>
  <si>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</si>
  <si>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</si>
  <si>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</si>
  <si>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</si>
  <si>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</si>
  <si>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</si>
  <si>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</si>
  <si>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</si>
  <si>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</si>
  <si>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apps/api/Dockerfile; railway.json/render.yaml</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</si>
  <si>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</si>
  <si>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</si>
  <si>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</si>
  <si>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</si>
  <si>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</si>
  <si>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</si>
  <si>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</si>
  <si>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</si>
  <si>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</si>
  <si>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</si>
  <si>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</si>
  <si>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</si>
  <si>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</si>
  <si>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</si>
  <si>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</si>
  <si>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</si>
  <si>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</si>
  <si>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</si>
  <si>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</si>
  <si>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</si>
  <si>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</si>
  <si>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</si>
  <si>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</si>
  <si>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</si>
  <si>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</si>
  <si>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</si>
  <si>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</si>
  <si>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</si>
  <si>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</si>
  <si>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</si>
  <si>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</si>
  <si>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</si>
  <si>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</si>
  <si>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</si>
  <si>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</si>
  <si>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</si>
  <si>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</si>
  <si>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</si>
  <si>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</si>
  <si>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</si>
  <si>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</si>
  <si>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apps/web/components/payments/PaymentPanel.tsx</t>
  </si>
  <si>
    <t>IAM-069</t>
  </si>
  <si>
    <t>Real-Time</t>
  </si>
  <si>
    <t>Add real-time task updates</t>
  </si>
  <si>
    <t>Low</t>
  </si>
  <si>
    <t>Use Supabase Realtime/WebSocket to refresh task timelines.</t>
  </si>
  <si>
    <t>Task update appears without manual refresh</t>
  </si>
  <si>
    <t>IAM-042,IAM-045</t>
  </si>
  <si>
    <t>apps/web/lib/realtime.ts; backend events</t>
  </si>
  <si>
    <t>IAM-070</t>
  </si>
  <si>
    <t>Add live notification updates</t>
  </si>
  <si>
    <t>Unread notifications update in real-time.</t>
  </si>
  <si>
    <t>Notification bell updates without refresh</t>
  </si>
  <si>
    <t>IAM-047,IAM-069</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</si>
  <si>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</si>
  <si>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</si>
  <si>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</si>
  <si>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</si>
  <si>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</si>
  <si>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</si>
  <si>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</si>
  <si>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</si>
  <si>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</si>
  <si>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</si>
  <si>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</si>
  <si>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</si>
  <si>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</si>
  <si>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</si>
  <si>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</si>
  <si>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</si>
  <si>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</si>
  <si>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</si>
  <si>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</si>
  <si>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</si>
  <si>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</si>
  <si>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</si>
  <si>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IAM-074</t>
  </si>
  <si>
    <t>Refactor identity and multi-tenant membership architecture</t>
  </si>
  <si>
    <t xml:space="preserve">Separate Supabase authentication identity, person profile, and transporter
membership so one person can belong to multiple transporter companies and may
hold a different application role in each tenant.
Replace the current one-auth-user/one-app_users-row architectural assumption
with user_profiles and tenant_memberships while preserving existing local data
through additive migrations.
Transporter display names are not global identity keys and may be duplicated.
Supabase Auth remains authoritative for authentication identity and email.
This architecture transition supersedes the singular app_users tenant/role
model without deleting historical migration files.</t>
  </si>
  <si>
    <t xml:space="preserve">- public.user_profiles separates person-level attributes from tenant access.
- public.tenant_memberships represents the relationship between one Auth user
  and one transporter tenant.
- One Auth user may have memberships in multiple tenants.
- One user may have different roles in different tenants.
- One user has at most one membership row per tenant.
- Supported roles remain admin, dispatcher, and car_puller.
- Tenant display name is no longer globally unique.
- Phone is not globally unique.
- Email authentication and uniqueness remain owned by Supabase Auth.
- Supabase access tokens remain tenant-agnostic.
- Existing app_users data is preserved and migrated additively.
- Existing app_users is not dropped until a later compatibility-cleanup task.
- Future tenant-scoped authorization must verify current membership rather than
  trusting tenant/role values from the token or browser.
- CODE-010 / IAM-022 remains paused operationally until the architecture
  transition tasks are complete.</t>
  </si>
  <si>
    <t>Sprint 11</t>
  </si>
  <si>
    <t>IAM-011,IAM-016,IAM-018</t>
  </si>
  <si>
    <t>supabase/migrations/20260808233000_multi_tenant_membership_foundation.sql</t>
  </si>
  <si>
    <t>Owner</t>
  </si>
  <si>
    <t>Repository and workbook rules for the Excel-driven Codex agent are established.</t>
  </si>
  <si>
    <t>Tracker file paths match the actual apps/api and apps/web workspace structure.</t>
  </si>
  <si>
    <t>The task-agent can safely prepare and explicitly launch one Codex coding task without committing, pushing, or updating the workbook.</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</si>
  <si>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</si>
  <si>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</si>
  <si>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</si>
  <si>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</si>
  <si>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</si>
  <si>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</si>
  <si>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</si>
  <si>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</si>
  <si>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</si>
  <si>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</si>
  <si>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</si>
  <si>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</si>
  <si>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</si>
  <si>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</si>
  <si>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</si>
  <si>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</si>
  <si>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</si>
  <si>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</si>
  <si>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</si>
  <si>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</si>
  <si>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</si>
  <si>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</si>
  <si>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</si>
  <si>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</si>
  <si>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</si>
  <si>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</si>
  <si>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</si>
  <si>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</si>
  <si>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</si>
  <si>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</si>
  <si>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</si>
  <si>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</si>
  <si>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</si>
  <si>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</si>
  <si>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</si>
  <si>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</si>
  <si>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</si>
  <si>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</si>
  <si>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</si>
  <si>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</si>
  <si>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</si>
  <si>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</si>
  <si>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</si>
  <si>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</si>
  <si>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</si>
  <si>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</si>
  <si>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</si>
  <si>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</si>
  <si>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</si>
  <si>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</si>
  <si>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</si>
  <si>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</si>
  <si>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</si>
  <si>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</si>
  <si>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</si>
  <si>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</si>
  <si>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</si>
  <si>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</si>
  <si>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</si>
  <si>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</si>
  <si>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</si>
  <si>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</si>
  <si>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</si>
  <si>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</si>
  <si>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</si>
  <si>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</si>
  <si>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CODE-002</t>
  </si>
  <si>
    <t>auth</t>
  </si>
  <si>
    <t>apps/api/src/modules/auth/dto/register.dto.ts</t>
  </si>
  <si>
    <t>Create RegisterDto</t>
  </si>
  <si>
    <t>Fields: email,password,role,companyName,fullName,phone. Use class-validator.</t>
  </si>
  <si>
    <t>Invalid registration payload rejected</t>
  </si>
  <si>
    <t>CODE-003</t>
  </si>
  <si>
    <t>apps/api/src/modules/auth/dto/login.dto.ts</t>
  </si>
  <si>
    <t>Create LoginDto</t>
  </si>
  <si>
    <t>Fields: email,password.</t>
  </si>
  <si>
    <t>Invalid login payload rejected</t>
  </si>
  <si>
    <t>CODE-048</t>
  </si>
  <si>
    <t>auth / supabase</t>
  </si>
  <si>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</si>
  <si>
    <t>Create authentication integration foundation</t>
  </si>
  <si>
    <t xml:space="preserve">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</si>
  <si>
    <t>IAM-015,IAM-016</t>
  </si>
  <si>
    <t xml:space="preserve">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</si>
  <si>
    <t>CODE-005</t>
  </si>
  <si>
    <t>apps/api/src/modules/auth/auth.service.ts; apps/api/src/modules/auth/auth.repository.ts; apps/api/src/modules/auth/auth.service.spec.ts; apps/api/src/modules/auth/auth.repository.spec.ts</t>
  </si>
  <si>
    <t>Implement company registration orchestration</t>
  </si>
  <si>
    <t xml:space="preserve">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</si>
  <si>
    <t xml:space="preserve">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</si>
  <si>
    <t>CODE-049</t>
  </si>
  <si>
    <t>Implement login service and user context</t>
  </si>
  <si>
    <t xml:space="preserve">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</si>
  <si>
    <t xml:space="preserve">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</si>
  <si>
    <t>CODE-004</t>
  </si>
  <si>
    <t>apps/api/src/modules/auth/auth.controller.ts; apps/api/src/modules/auth/auth.controller.spec.ts</t>
  </si>
  <si>
    <t>Implement register and login controllers</t>
  </si>
  <si>
    <t xml:space="preserve">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</si>
  <si>
    <t xml:space="preserve">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</si>
  <si>
    <t>CODE-006</t>
  </si>
  <si>
    <t xml:space="preserve">apps/api/src/modules/auth/jwt.strategy.ts;
apps/api/src/modules/auth/jwt.strategy.spec.ts;
apps/api/src/modules/auth/auth.repository.ts;
apps/api/src/modules/auth/auth.repository.spec.ts;
apps/api/src/modules/auth/auth.types.ts;
apps/api/src/modules/auth/auth.module.ts</t>
  </si>
  <si>
    <t>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</si>
  <si>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</si>
  <si>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</si>
  <si>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CODE-007</t>
  </si>
  <si>
    <t>common</t>
  </si>
  <si>
    <t xml:space="preserve">apps/api/src/common/guards/auth.guard.ts;
apps/api/src/common/guards/auth.guard.spec.ts</t>
  </si>
  <si>
    <t>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</si>
  <si>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</si>
  <si>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</si>
  <si>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CODE-008</t>
  </si>
  <si>
    <t xml:space="preserve">apps/api/src/common/decorators/roles.decorator.ts;
apps/api/src/common/guards/roles.guard.ts;
apps/api/src/common/guards/roles.guard.spec.ts</t>
  </si>
  <si>
    <t>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</si>
  <si>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</si>
  <si>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</si>
  <si>
    <t>CODE-009</t>
  </si>
  <si>
    <t>tenants</t>
  </si>
  <si>
    <t>apps/api/src/modules/tenants/tenants.service.ts</t>
  </si>
  <si>
    <t>Create tenant service</t>
  </si>
  <si>
    <t>Create/get current tenant and update company settings.</t>
  </si>
  <si>
    <t>Tenant data isolated</t>
  </si>
  <si>
    <t>CODE-024</t>
  </si>
  <si>
    <t>lib</t>
  </si>
  <si>
    <t xml:space="preserve">apps/web/lib/api.ts;
apps/web/lib/api.test.ts;
apps/web/lib/auth.types.ts;
apps/web/vitest.config.ts;
apps/web/vitest.setup.ts;
apps/web/package.json;
././pnpm-lock.yaml</t>
  </si>
  <si>
    <t>Create typed frontend authentication API client and test foundation</t>
  </si>
  <si>
    <t xml:space="preserve">Configure a focused Vitest frontend test foundation using jsdom and React
Testing Library dependencies needed by CODE-024 and the later CODE-025 page
tests. Do not replace or modify Next.js runtime behavior.
Create approved frontend authentication request and response types:
RegisterRequest:
{
  email: string;
  password: string;
  companyName: string;
  fullName: string;
  phone: string;
}
LoginRequest:
{
  email: string;
  password: string;
}
AuthSession:
{
  accessToken: string;
  refreshToken: string;
  expiresIn: number;
  expiresAt: number;
  tokenType: string;
}
AuthUserContext:
{
  id: string;
  email: string;
  tenantId: string;
  role: 'admin' | 'dispatcher' | 'car_puller';
  fullName: string;
  phone: string;
}
AuthResponse:
{
  session: AuthSession | null;
  requiresEmailConfirmation: boolean;
  user: AuthUserContext;
}
Create a browser-safe fetch API client using NEXT_PUBLIC_API_URL.
Normalize the configured base URL without silently inventing a fallback.
Fail safely when NEXT_PUBLIC_API_URL is absent or invalid.
Implement typed registration and login requests:
POST /auth/register
POST /auth/login
Send JSON with Content-Type application/json.
Support an optional bearer access token for later protected requests. When
provided, send it through exactly one Authorization header.
Parse successful JSON responses safely. Validate the expected authentication
response shape before returning it.
Create a typed safe API error containing only an HTTP status and an approved
user-facing message.
Preserve safe documented backend error messages where appropriate. Convert
malformed JSON, unexpected response shapes, provider-detail responses,
non-JSON responses, and network failures into generic safe messages.
Never include or log passwords, access tokens, refresh tokens, Authorization
headers, anonymous keys, service-role keys, cookies, provider response bodies,
or environment values.
Do not manage authentication sessions.
Do not create a Supabase browser client.
Do not modify login or registration pages.
Do not redirect.
Do not persist user information.
Do not modify the backend.
Do not contact hosted services.</t>
  </si>
  <si>
    <t xml:space="preserve">- Frontend tests run through an explicit package script.
- The frontend test foundation supports CODE-024 unit tests and CODE-025 React
  component tests.
- Register requests use POST /auth/register and exactly the approved payload.
- Login requests use POST /auth/login and exactly the approved payload.
- Requests use the validated NEXT_PUBLIC_API_URL.
- Successful authentication responses are parsed and validated.
- Optional access tokens produce exactly one Bearer Authorization header.
- No Authorization header is sent when no access token is provided.
- Documented safe backend messages can be displayed.
- Malformed, non-JSON, unexpected, and network failures return generic safe
  errors.
- Tests cover base URL validation, register requests, login requests,
  successful responses, documented HTTP errors, malformed responses,
  non-JSON responses, network failures, and bearer-header behavior.
- Tests confirm credentials and session values never appear in errors or logs.
- Only the seven authorized paths are modified.
- No form integration, session storage, Supabase client, redirect, backend
  change, or hosted operation is implemented.</t>
  </si>
  <si>
    <t>CODE-025</t>
  </si>
  <si>
    <t xml:space="preserve">apps/web/lib/supabase.ts;
apps/web/lib/auth.ts;
apps/web/lib/auth.test.ts;
apps/web/app/(auth)/login/page.tsx;
apps/web/app/(auth)/login/page.test.tsx;
apps/web/app/(auth)/register/page.tsx;
apps/web/app/(auth)/register/page.test.tsx;
apps/web/package.json;
././pnpm-lock.yaml</t>
  </si>
  <si>
    <t>Connect registration and login pages to backend authentication</t>
  </si>
  <si>
    <t xml:space="preserve">Create a browser-only Supabase client using the documented public
NEXT_PUBLIC_SUPABASE_URL and NEXT_PUBLIC_SUPABASE_ANON_KEY configuration.
Use the CODE-024 API client to call the completed NestJS authentication
endpoints.
Registration:
- Remove the administrator/team-member role selector.
- Do not send role.
- Keep confirmPassword only for client-side validation.
- Send exactly email, password, companyName, fullName, and phone.
- Preserve loading state and prevent duplicate submission.
- Display safe 409, 500, 503, malformed-response, and network errors.
- When a session is returned, install the access and refresh tokens into the
  browser Supabase client using its supported session API.
- Retain the returned IAMONIT user context in memory for the current browser
  lifecycle. Do not persist the user profile as an authorization source.
- Temporarily redirect successful authenticated registration to / because
  /dashboard is not implemented.
- When session is null and requiresEmailConfirmation is true, do not establish
  authenticated state. Show clear email-confirmation guidance and a link to
  /login.
Login:
- Send exactly email and password.
- Preserve loading state and prevent duplicate submission.
- Display the generic safe 401 message for invalid credentials.
- Display safe 403, 500, 503, malformed-response, and network errors.
- Require a non-null approved session response.
- Install the session into the browser Supabase client.
- Retain the returned IAMONIT user context in memory for the current browser
  lifecycle.
- Temporarily redirect successful login to / because /dashboard and /my-tasks
  are not implemented.
Use Supabase-managed browser session persistence and refresh behavior. Do not
manually write access or refresh tokens to localStorage, sessionStorage,
cookies, or another custom token store.
Frontend user context is display state only. Backend token verification and
database-derived tenant/role context remain authoritative.
If Supabase session installation fails, clear partial in-memory user state and
show a safe generic error.
Do not implement logout UI, protected-route middleware, dashboard state,
custom refresh logic, custom JWTs, backend changes, RLS changes, CORS changes,
or hosted operations.</t>
  </si>
  <si>
    <t xml:space="preserve">- Register submits the exact approved backend request.
- Registration role selection is removed.
- confirmPassword is never sent.
- Successful session registration establishes a Supabase browser session and
  redirects to /.
- Confirmation-required registration establishes no session and shows clear
  guidance.
- Login submits exactly email and password.
- Successful login establishes a Supabase browser session and redirects to /.
- Returned IAMONIT user context is available in memory to auth helpers.
- Failed session establishment leaves no partial user state.
- Loading and duplicate-submission protection remain functional.
- Safe documented backend errors are displayed without exposing provider
  details.
- Tests cover registration payload, no role field, no confirmPassword field,
  session registration, confirmation-required behavior, login payload,
  session installation, user context, temporary redirects, validation,
  duplicate submission, and safe failure handling.
- No custom token persistence, logout UI, protected-route middleware, backend
  change, RLS change, CORS change, or hosted operation is implemented.
- Only the nine authorized paths are modified.</t>
  </si>
  <si>
    <t>CODE-050</t>
  </si>
  <si>
    <t>multi-tenant-foundation</t>
  </si>
  <si>
    <t>Create multi-tenant profile and membership foundation migration</t>
  </si>
  <si>
    <t xml:space="preserve">Create one additive PostgreSQL/Supabase migration.
Do not edit, rename, or delete existing migration files.
Create public.user_profiles:
- user_id uuid PRIMARY KEY
  REFERENCES auth.users(id) ON DELETE CASCADE
- full_name text NOT NULL
- phone text NOT NULL
- created_at timestamptz NOT NULL DEFAULT now()
- updated_at timestamptz NOT NULL DEFAULT now()
- created_by uuid NULL
- updated_by uuid NULL
Use the existing public.set_updated_at() trigger function.
Enable RLS.
Do not create RLS policies in this task.
Do not store email in user_profiles.
Do not add global uniqueness to phone.
Create public.tenant_memberships:
- id uuid PRIMARY KEY DEFAULT gen_random_uuid()
- user_id uuid NOT NULL
  REFERENCES auth.users(id) ON DELETE CASCADE
- tenant_id uuid NOT NULL
  REFERENCES public.tenants(id) ON DELETE RESTRICT
- role text NOT NULL
  CHECK role IN ('admin','dispatcher','car_puller')
- status text NOT NULL DEFAULT 'active'
  CHECK status IN ('active','suspended','removed')
- created_at timestamptz NOT NULL DEFAULT now()
- updated_at timestamptz NOT NULL DEFAULT now()
- created_by uuid NULL
- updated_by uuid NULL
- UNIQUE(user_id,tenant_id)
Create indexes:
- tenant_memberships(tenant_id,status)
- tenant_memberships(user_id,status)
Reuse public.set_updated_at() for tenant_memberships.updated_at.
Enable RLS.
Do not create RLS policies in this task.
Modify public.tenants additively:
- Remove the existing global unique constraint from tenants.name.
- Preserve name as NOT NULL.
- Keep UUID id as the canonical tenant identity.
- Add/ensure a status CHECK allowing exactly:
  active
  suspended
  archived
- Preserve existing tenant rows and audit behavior.
- Do not introduce a slug yet.
Backfill existing local app_users data:
For every existing public.app_users row:
1. Create one corresponding user_profiles row using:
   - id -&gt; user_id
   - full_name
   - phone
   - existing audit/timestamp values where safely compatible
2. Create one corresponding active tenant_memberships row using:
   - app_users.id -&gt; user_id
   - app_users.tenant_id -&gt; tenant_id
   - app_users.role -&gt; role
   - status = active
   - existing audit/timestamp values where safely compatible
The migration must preserve existing users, tenants, and authentication
identities.
Do not drop, rename, or alter public.app_users in a way that breaks the
existing application. app_users remains temporarily for compatibility.
The migration must not access hosted Supabase.
Validate against local Supabase without resetting or discarding the current
local data.</t>
  </si>
  <si>
    <t xml:space="preserve">- Migration applies successfully to the existing local database.
- Existing auth.users identities remain unchanged.
- Existing tenants remain unchanged except tenant names are no longer globally
  unique and the documented status constraint exists.
- Existing app_users remains present and unchanged for compatibility.
- Every existing app_users row produces exactly one user_profiles row.
- Every existing app_users row produces exactly one active
  tenant_memberships row.
- One user can have memberships in two different tenants.
- The same user can have different roles in different tenants.
- Duplicate (user_id,tenant_id) is rejected.
- Unsupported membership roles are rejected.
- Unsupported membership statuses are rejected.
- Two different tenants may have the same display name.
- Phone values are not globally unique.
- user_profiles and tenant_memberships updated_at triggers work.
- RLS is enabled on both new tables.
- No RLS policy is introduced.
- No existing migration is edited.
- No app_users cleanup is performed.
- No backend/frontend source code is modified.
- No hosted operation occurs.</t>
  </si>
  <si>
    <t>CODE-051</t>
  </si>
  <si>
    <t>apps/api/src/modules/auth/auth.repository.ts; apps/api/src/modules/auth/auth.repository.spec.ts; apps/api/src/modules/auth/auth.types.ts; apps/api/src/modules/auth/dto/auth-response.dto.ts</t>
  </si>
  <si>
    <t>Create multi-tenant authentication repository and contract foundation</t>
  </si>
  <si>
    <t xml:space="preserve">This task is a compatibility-first backend foundation.
Do not change registration/login orchestration yet.
Do not change controllers yet.
Do not change frontend code.
Do not change token verification yet.
Do not change AuthGuard or RolesGuard yet.
Do not remove public.app_users compatibility reads required by existing
working authentication behavior.
The purpose of CODE-051 is to introduce the correct multi-tenant repository
queries and types alongside the currently working singular auth flow so later
tasks can safely switch over.
1. Add multi-tenant domain types.
Keep the existing AuthRole definition.
Add:
MembershipStatus:
- active
- suspended
- removed
UserProfileRecord:
- userId
- fullName
- phone
MembershipSummary:
- membershipId
- tenantId
- tenantName
- role
- status
AuthenticatedIdentity:
- userId
TenantRequestContext:
- userId
- membershipId
- tenantId
- role
Do not remove legacy AuthUserContext or AuthenticatedContext in this task if
existing code still requires them.
2. Add repository lookup for the person profile.
Add a method equivalent to:
findUserProfileById(userId)
It must read from public.user_profiles.
It must not use public.app_users as the authoritative source for this new
method.
Return null when no profile exists.
3. Add repository lookup for all memberships belonging to a user.
Add a method equivalent to:
findMembershipsByUserId(userId)
It must join:
public.tenant_memberships
public.tenants
Return:
- membershipId
- tenantId
- tenantName
- role
- membership status
It must support zero, one, or multiple memberships.
Do not assume one user has only one tenant.
Do not collapse or overwrite memberships.
Use deterministic ordering for testability.
4. Add repository lookup for an active membership in a requested tenant.
Add a method equivalent to:
findActiveMembership(userId, tenantId)
It must return the membership only when:
- tenant_memberships.user_id matches
- tenant_memberships.tenant_id matches
- tenant_memberships.status = active
- tenants.status = active
It must return null when:
- membership does not exist
- membership is suspended
- membership is removed
- tenant is suspended
- tenant is archived
- user belongs to another tenant instead
This method will later support TenantContextGuard.
5. Add future multi-tenant response contract types without switching existing
controllers/services to them yet.
Within auth-response.dto.ts introduce compatible DTO definitions equivalent
to:
UserProfileDto:
- userId
- email
- fullName
- phone
MembershipSummaryDto:
- membershipId
- tenantId
- tenantName
- role
- status
MultiTenantAuthResponseDto:
- session
- requiresEmailConfirmation
- profile
- memberships
- selectedMembership
selectedMembership must allow null.
Do not remove or break the currently used AuthResponseDto yet.
The existing auth flow must continue compiling and testing after this task.
6. Repository tests must cover at minimum:
- user profile lookup from user_profiles
- missing profile returns null
- zero memberships returns []
- one membership
- multiple memberships
- same user with different roles in different tenants
- membership tenant name returned from tenants
- active membership lookup succeeds
- suspended membership rejected
- removed membership rejected
- suspended tenant rejected
- archived tenant rejected
- membership belonging to another tenant is not returned
- queries use tenant_memberships/user_profiles rather than relying on
  singular app_users semantics
7. This task must not:
- write membership data
- create tenants
- create profiles
- alter registration orchestration
- alter login orchestration
- alter Supabase Auth behavior
- alter token verification
- introduce tenant header parsing
- introduce TenantContextGuard
- alter RolesGuard
- alter AuthGuard
- alter RLS
- modify migrations
- modify frontend code
- remove app_users compatibility code
- contact hosted Supabase</t>
  </si>
  <si>
    <t xml:space="preserve">- New user profile repository lookup reads public.user_profiles.
- New membership repository lookup supports multiple tenant memberships.
- One user may be represented with different roles in different tenants.
- Active membership lookup validates both membership and tenant status.
- No tenant is selected implicitly.
- No role is derived globally for the user.
- New types clearly separate identity, person profile, membership, and
  tenant-request context.
- Future multi-tenant auth response contract contains profile, memberships,
  and selectedMembership.
- Existing register/login behavior remains compatible.
- Existing tests continue passing.
- New repository tests pass.
- API TypeScript build/typecheck passes.
- No frontend files change.
- No database migration changes.
- No workbook modification occurs during eventual CODE-051 execution.
- No hosted operation occurs.</t>
  </si>
  <si>
    <t>CODE-052</t>
  </si>
  <si>
    <t>apps/api/src/modules/auth/auth.repository.ts; apps/api/src/modules/auth/auth.repository.spec.ts; apps/api/src/modules/auth/auth.service.ts; apps/api/src/modules/auth/auth.service.spec.ts; apps/api/src/modules/auth/auth.types.ts; apps/api/src/modules/auth/dto/auth-response.dto.ts; apps/api/src/modules/auth/dto/register-transporter.dto.ts; apps/api/src/modules/auth/dto/register-car-puller.dto.ts</t>
  </si>
  <si>
    <t>Create multi-tenant transporter and car-puller authentication orchestration</t>
  </si>
  <si>
    <t xml:space="preserve">This is a compatibility-first service/repository task.
Do not change controllers in this task.
Do not change frontend code.
Do not change token verification.
Do not change AuthGuard.
Do not change RolesGuard.
Do not add TenantContextGuard yet.
Do not remove the existing legacy register/login behavior required by the
currently working frontend.
The goal is to build the new multi-tenant authentication orchestration
alongside the current flow so a later task can safely switch HTTP endpoints.
1. TRANSPORTER REGISTRATION DTO
Create RegisterTransporterDto.
Required fields:
- email
- password
- companyName
- fullName
- phone
Requirements:
- email must use existing email validation conventions
- password must use existing approved password validation
- companyName required
- fullName required
- phone must use the existing approved international/E.164-compatible
  validation convention
- do not accept a client-provided role
- do not accept tenantId
- do not accept membershipId
2. CAR-PULLER REGISTRATION DTO
Create RegisterCarPullerDto.
Required fields:
- email
- password
- fullName
- phone
Do NOT include:
- companyName
- role
- tenantId
- membershipId
Car-puller signup represents an individual identity/profile and must not
automatically create a transporter company.
3. NEW TRANSPORTER ACCOUNT REPOSITORY WRITE
Add a repository operation equivalent to:
createTransporterAccount(...)
Do not replace the existing compatibility createCompanyAccount method yet if
the legacy authentication flow still uses it.
The new operation must create in one PostgreSQL transaction:
A. public.user_profiles
B. public.tenants
C. public.tenant_memberships
Behavior:
- user_profiles.user_id = Supabase Auth user ID
- create one new tenant using companyName
- duplicate company display names must be allowed
- create exactly one membership for the registering user
- membership role = admin
- membership status = active
- no public.app_users row is required for the new multi-tenant flow
- rollback all database writes if any database step fails
- return enough information to construct the profile and newly created
  membership response
Do not infer identity from company name.
4. NEW CAR-PULLER PROFILE REPOSITORY WRITE
Add a repository operation equivalent to:
createUserProfile(...)
For car-puller signup:
- insert one public.user_profiles row
- do not create a tenant
- do not create a tenant_memberships row
- do not create an app_users row for the new multi-tenant flow
Return the created profile.
5. ACTIVE MEMBERSHIP LIST LOOKUP
Add a repository operation equivalent to:
findActiveMembershipsByUserId(userId)
It must join:
public.tenant_memberships
public.tenants
It must return only memberships where:
tenant_memberships.status = 'active'
AND
tenants.status = 'active'
Return:
- membershipId
- tenantId
- tenantName
- role
- status
Use deterministic ordering.
Zero memberships is valid.
Do not select a tenant inside the repository.
6. NEW MULTI-TENANT AUTH RESPONSE TYPE
Add or complete a domain-level MultiTenantAuthResponse type compatible with
the DTO foundation from CODE-051.
It must contain:
session
requiresEmailConfirmation
profile
memberships
selectedMembership
Profile must contain:
- userId
- email
- fullName
- phone
selectedMembership must allow null.
Do not remove the legacy AuthResponse type yet.
7. TRANSPORTER REGISTRATION SERVICE ORCHESTRATION
Add a new service operation equivalent to:
registerTransporter(...)
Do not replace the currently used legacy register method yet.
Flow:
1. Create Supabase Auth identity using the existing public Supabase client.
2. Respect Supabase email-confirmation behavior.
3. Create user profile + tenant + admin membership atomically using the new
   repository operation.
4. Return MultiTenantAuthResponse.
For successful transporter registration:
memberships contains exactly the newly created membership.
selectedMembership = newly created membership.
role = admin.
Company display-name duplication must NOT produce a conflict by itself.
If the PostgreSQL operation fails after a NEW Auth identity was created:
- rollback PostgreSQL transaction
- attempt compensating deletion of only that newly created Auth identity using
  the existing server-side/admin Supabase mechanism
- preserve safe error mapping
Do not expose provider internals or secrets.
8. CAR-PULLER REGISTRATION SERVICE ORCHESTRATION
Add a new service operation equivalent to:
registerCarPuller(...)
Flow:
1. Create Supabase Auth identity.
2. Respect email-confirmation behavior.
3. Create public.user_profiles.
4. Do not create a tenant.
5. Do not create a membership.
6. Return:
memberships = []
selectedMembership = null
A car puller may later obtain tenant memberships through invitation/joining
flows.
If profile persistence fails after a NEW Auth identity was created:
- attempt compensation using the existing safe Auth-user deletion mechanism
Do not invent a company for a car puller.
9. MULTI-TENANT LOGIN ORCHESTRATION
Add a new service operation equivalent to:
loginMultiTenant(...)
Do not replace the currently used legacy login method yet.
Flow:
1. Authenticate with existing Supabase signInWithPassword behavior.
2. Load public.user_profiles by Auth user ID.
3. Load active memberships using findActiveMembershipsByUserId().
4. Build MultiTenantAuthResponse.
Selection behavior:
ZERO active memberships:
selectedMembership = null
EXACTLY ONE active membership:
selectedMembership = that membership
MORE THAN ONE active membership:
selectedMembership = null
The server must not arbitrarily choose one membership when several exist.
The Supabase access token remains tenant-agnostic.
Do not encode tenantId or application role into a new token.
10. LOGIN PROFILE REQUIREMENT
If Supabase authentication succeeds but public.user_profiles does not exist:
- fail safely using the existing application-profile-missing convention
- do not invent a profile
- do not fall back to public.app_users for the new multi-tenant login method
11. ERROR HANDLING
Preserve safe error semantics equivalent to existing authentication behavior.
At minimum test:
- invalid credentials -&gt; safe authentication error
- duplicate email/Auth identity -&gt; safe conflict behavior
- provider unavailable -&gt; safe service-unavailable behavior
- database failure -&gt; safe server error
- compensation behavior
- no raw Supabase/PostgreSQL internals leaked to clients
Duplicate company display name is NOT an error.
12. EXISTING AUTHENTICATION COMPATIBILITY
The current working frontend still uses the legacy endpoints.
Therefore this CODE-052 task must preserve:
- current register()
- current login()
- existing AuthResponse
- existing app_users compatibility queries needed by those legacy methods
- existing controllers
- existing frontend behavior
New multi-tenant operations exist alongside them.
A later task will switch controllers/endpoints to the new operations.
13. TESTS
Repository/service tests must cover at minimum:
TRANSPORTER:
- creates profile
- creates tenant
- creates active admin membership
- profile/tenant/membership are transactional
- duplicate tenant display name does not create a conflict
- response contains one admin membership
- selectedMembership is that membership
- email-confirmation session-null behavior
- database failure triggers rollback/compensation
- Auth identity compensation is attempted only for a newly created identity
CAR PULLER:
- creates Auth identity
- creates profile
- creates no tenant
- creates no membership
- memberships = []
- selectedMembership = null
- email-confirmation behavior
- persistence failure compensation
LOGIN:
- invalid credentials safely rejected
- missing profile safely rejected
- zero memberships -&gt; selectedMembership null
- one active membership -&gt; automatically selected
- two or more active memberships -&gt; selectedMembership null
- multiple memberships are all returned
- same user may have different roles in different tenants
- suspended membership excluded
- removed membership excluded
- suspended tenant excluded
- archived tenant excluded
- token/session remains tenant-agnostic
REGRESSION:
- legacy registration tests continue passing
- legacy login tests continue passing
- existing controller tests continue passing
- full API suite passes
14. OUT OF SCOPE
Do NOT:
- change auth.controller.ts
- create the new HTTP endpoints yet
- change frontend registration pages
- change frontend login
- introduce tenant selection UI
- introduce tenant switcher
- change jwt.strategy.ts
- change auth.guard.ts
- change roles.guard.ts
- create TenantContextGuard
- alter RLS
- modify migrations
- modify database schema
- modify app_users migration
- remove app_users
- modify package dependencies
- access hosted Supabase
- modify .env files</t>
  </si>
  <si>
    <t xml:space="preserve">- New transporter signup orchestration creates:
  Auth identity + profile + tenant + active admin membership.
- New car-puller signup orchestration creates:
  Auth identity + profile only.
- Company name is absent from car-puller signup.
- Duplicate company display names are allowed.
- No client-selected role exists in either registration DTO.
- Multi-tenant login returns profile and all active memberships.
- Zero memberships is valid.
- Exactly one active membership may be automatically selected.
- Multiple active memberships never cause arbitrary tenant selection.
- Different roles in different tenants are preserved.
- Supabase token remains tenant-agnostic.
- New flow does not rely on app_users as its authoritative profile or
  membership source.
- Legacy authentication remains operational.
- Existing API tests continue passing.
- New tests pass.
- API build/typecheck passes.
- Task-agent tests pass.
- No frontend file changes.
- No migration changes.
- No controller changes.
- No guard changes.
- No hosted operation occurs.</t>
  </si>
  <si>
    <t>CODE-053</t>
  </si>
  <si>
    <t>apps/api/src/modules/auth/jwt.strategy.ts; apps/api/src/modules/auth/jwt.strategy.spec.ts; apps/api/src/modules/auth/auth.types.ts</t>
  </si>
  <si>
    <t>Create identity-only Supabase token verification foundation</t>
  </si>
  <si>
    <t xml:space="preserve">This task is compatibility-first.
Do not change AuthGuard yet.
Do not change RolesGuard yet.
Do not add TenantContextGuard yet.
Do not change controllers.
Do not change frontend code.
Do not change registration/login orchestration.
Do not change migrations.
Do not change RLS.
The purpose of CODE-053 is to create the new identity-only token-verification
path while preserving the legacy tenant-scoped verification path until the
next authorization task switches the guards.
1. IDENTITY-ONLY TOKEN VERIFICATION
Add a new token verification method equivalent to:
verifyIdentity(accessToken)
Behavior:
- Accept the bearer access token string.
- Use the existing Supabase public client.
- Verify the token using the existing trusted Supabase getClaims/token
  verification mechanism already used by the application.
- Obtain the authenticated Supabase user ID.
- Return:
{
  userId: string
}
using the existing/new AuthenticatedIdentity type.
Do not return:
- tenantId
- membershipId
- role
- tenant name
- application permissions
2. TOKEN REMAINS TENANT-AGNOSTIC
The new verification method must not:
- query public.app_users
- query public.user_profiles
- query public.tenant_memberships
- query public.tenants
- derive an application role
- select a tenant
- trust tenant/role from browser state
- trust tenant/role from JWT metadata
Supabase token verification establishes identity only.
3. ERROR HANDLING
Preserve existing safe authentication behavior.
The new identity-only verifier must safely reject:
- missing/empty token if invoked directly
- invalid token
- expired/rejected token
- missing authenticated subject/user ID
- provider verification failure
Do not expose:
- raw Supabase provider errors
- access tokens
- JWT contents
- Supabase keys
- database details
4. LEGACY COMPATIBILITY
Do not remove the currently used legacy token-verification behavior yet if
AuthGuard still depends on it.
Existing protected flow must continue compiling and testing.
The old app_users-based tenant/role lookup may remain temporarily only for
compatibility.
Clearly separate the new identity-only path from the legacy tenant-scoped
path.
A later task will:
- switch AuthGuard to identity-only
- introduce TenantContextGuard
- resolve active tenant membership
- feed tenant-specific role into RolesGuard
5. TYPES
Reuse:
AuthenticatedIdentity {
  userId: string
}
Do not change TenantRequestContext in this task.
Do not remove legacy AuthenticatedContext yet if existing code requires it.
6. TESTS
Add/update jwt.strategy.spec.ts tests covering at minimum:
- valid Supabase token returns only userId
- valid identity response contains no tenantId
- valid identity response contains no role
- valid identity response contains no membershipId
- identity-only path performs no repository membership lookup
- identity-only path performs no app_users lookup
- invalid token safely rejected
- provider verification error safely rejected
- missing subject/user ID safely rejected
- legacy verification behavior remains compatible
- existing verifier tests continue passing
7. OUT OF SCOPE
Do NOT:
- modify auth.guard.ts
- modify auth.guard.spec.ts
- modify roles.guard.ts
- modify roles.guard.spec.ts
- introduce tenant-context.guard.ts
- introduce tenant selection header parsing
- modify auth.repository.ts
- modify auth.service.ts
- modify controllers
- modify DTOs
- modify frontend
- modify database schema
- modify migrations
- modify RLS
- remove app_users compatibility
- contact hosted Supabase</t>
  </si>
  <si>
    <t xml:space="preserve">- Identity-only token verifier exists.
- Valid Supabase token returns AuthenticatedIdentity containing only userId.
- New identity verification performs no tenant lookup.
- New identity verification performs no role lookup.
- New identity verification does not rely on app_users.
- Supabase token remains tenant-agnostic.
- Safe error handling is preserved.
- Existing legacy verifier remains compatible temporarily.
- Existing AuthGuard/RoleGuard behavior is not changed in this task.
- Existing API tests continue passing.
- New verifier tests pass.
- API build/typecheck passes.
- Task-agent tests pass.
- No frontend files change.
- No migration changes.
- No guard changes.
- No hosted operation occurs.</t>
  </si>
  <si>
    <t>CODE-054</t>
  </si>
  <si>
    <t>authorization</t>
  </si>
  <si>
    <t>apps/api/src/common/guards/auth.guard.ts; apps/api/src/common/guards/auth.guard.spec.ts; apps/api/src/common/guards/tenant-context.guard.ts; apps/api/src/common/guards/tenant-context.guard.spec.ts; apps/api/src/common/guards/roles.guard.ts; apps/api/src/common/guards/roles.guard.spec.ts; apps/api/src/modules/auth/auth.module.ts</t>
  </si>
  <si>
    <t>Create identity AuthGuard and verified tenant-context authorization</t>
  </si>
  <si>
    <t xml:space="preserve">This task performs the guard-layer architecture transition.
Do not expose the new transporter/car-puller HTTP endpoints yet.
Do not modify controllers.
Do not modify frontend code.
Do not modify registration/login service orchestration.
Do not modify migrations or RLS.
Do not remove legacy JwtStrategy.verify() yet.
Supabase identity and tenant authorization must be separate concerns.
1. AUTHGUARD BECOMES IDENTITY-ONLY
Update AuthGuard so it:
1. Extracts the Bearer token using the existing approved behavior.
2. Calls:
JwtStrategy.verifyIdentity(accessToken)
NOT the legacy tenant-scoped verify() method.
3. Attaches exactly an authenticated identity equivalent to:
{
  userId
}
to request.user.
AuthGuard must NOT attach:
- tenantId
- membershipId
- role
AuthGuard must NOT:
- query public.app_users
- query public.tenant_memberships
- select a tenant
- derive an application role
Keep existing safe Bearer-token validation.
Missing/malformed credentials remain Unauthorized.
2. CREATE TENANTCONTEXTGUARD
Create:
apps/api/src/common/guards/tenant-context.guard.ts
The guard operates AFTER AuthGuard.
It must require a valid authenticated identity already attached to
request.user.
Read the requested tenant from this HTTP header:
X-IAMONIT-Tenant-Id
Header lookup must work using the normal lowercase Node/Nest representation:
x-iamonit-tenant-id
3. TENANT HEADER VALIDATION
TenantContextGuard must safely reject:
- no authenticated identity -&gt; Unauthorized
- missing tenant header -&gt; Bad Request
- blank tenant header -&gt; Bad Request
- multiple tenant-header values -&gt; Bad Request
- malformed tenant UUID -&gt; Bad Request
Do not silently select a tenant.
Do not infer a tenant from:
- JWT
- role
- previous request
- first membership
- browser state
- company name
4. VERIFY MEMBERSHIP SERVER-SIDE
TenantContextGuard must call the existing repository method equivalent to:
findActiveMembership(userId, tenantId)
The repository method already requires:
- membership user matches authenticated user
- membership tenant matches requested tenant
- membership status = active
- tenant status = active
If no active membership is returned:
Forbidden
A tenant ID supplied by the browser is only a request for context.
It is never proof of authorization.
5. ATTACH VERIFIED TENANT REQUEST CONTEXT
After membership validation succeeds, replace/enrich request.user with:
{
  userId,
  membershipId,
  tenantId,
  role
}
using the existing TenantRequestContext type.
The values must come from the verified Auth identity and database membership.
Do not trust role or membershipId supplied by the client.
6. DATABASE FAILURE HANDLING
If membership verification fails because the database is unavailable:
return a safe ServiceUnavailable response.
Unexpected repository failures:
return a safe InternalServerError response.
Do not expose:
- SQL
- database URLs
- stack traces
- PostgreSQL internals
7. ROLESGUARD BECOMES TENANT-CONTEXT AWARE
Update RolesGuard so application role authorization is based only on the
verified TenantRequestContext produced by TenantContextGuard.
For handlers with no @Roles metadata:
allow the request without requiring tenant role metadata.
For handlers requiring roles:
request.user must contain a valid tenant request context.
Required context:
- userId
- membershipId
- tenantId
- role
If tenant context is missing:
Unauthorized
If context exists but role is not one of the required roles:
Forbidden
RolesGuard must:
- perform no database lookup
- perform no JWT parsing
- perform no tenant selection
- not trust browser-provided role values
8. MULTI-COMPANY ROLE BEHAVIOR
The guard architecture must support:
Same Auth user:
Tenant A -&gt; admin
Tenant B -&gt; dispatcher
Tenant C -&gt; car_puller
Authorization must depend on the membership belonging to the requested tenant.
There must be no globally cached or globally assigned application role for the
person.
9. AUTHMODULE
Update auth.module.ts only as necessary to make the new guard/repository
dependencies resolvable through Nest dependency injection.
Register/export guard providers only where required.
Do not modify controllers or apply the guards to routes in this task.
10. LEGACY JWT COMPATIBILITY
JwtStrategy.verify() may remain temporarily for compatibility/testing.
Do not delete it in CODE-054.
However:
AuthGuard must no longer use legacy verify().
AuthGuard must use verifyIdentity().
11. TESTS — AUTHGUARD
Cover at minimum:
- valid Bearer token calls verifyIdentity()
- attaches only { userId }
- does not attach tenantId
- does not attach membershipId
- does not attach role
- does not call legacy verify()
- missing Authorization header -&gt; Unauthorized
- malformed Bearer scheme -&gt; Unauthorized
- blank token -&gt; Unauthorized
- identity-verification error safely propagated/mapped
12. TESTS — TENANTCONTEXTGUARD
Cover at minimum:
- missing authenticated identity -&gt; Unauthorized
- missing X-IAMONIT-Tenant-Id -&gt; Bad Request
- blank header -&gt; Bad Request
- malformed UUID -&gt; Bad Request
- multiple header values -&gt; Bad Request
- active membership succeeds
- repository called with authenticated userId + requested tenantId
- request.user becomes TenantRequestContext
- different tenant/no membership -&gt; Forbidden
- suspended membership -&gt; Forbidden
- removed membership -&gt; Forbidden
- suspended tenant -&gt; Forbidden
- archived tenant -&gt; Forbidden
- database unavailable -&gt; ServiceUnavailable
- unexpected repository error -&gt; safe InternalServerError
13. TESTS — ROLESGUARD
Cover at minimum:
- no @Roles metadata -&gt; allow
- admin requirement with admin membership -&gt; allow
- dispatcher requirement with dispatcher membership -&gt; allow
- car_puller requirement with car_puller membership -&gt; allow
- wrong tenant-specific role -&gt; Forbidden
- identity-only request without tenant context on role-protected handler -&gt;
  Unauthorized
- role check uses request.user tenant context
- no repository calls
- same user may pass different role checks under different tenant contexts
14. CHAINING TEST
Add at least one focused test demonstrating the intended sequence:
AuthGuard
  -&gt; identity only
TenantContextGuard
  -&gt; verified tenant membership
RolesGuard
  -&gt; role from that membership
The test must demonstrate that changing the requested tenant for the same user
can result in a different authorized role.
15. SECURITY RULES
Do not trust:
- tenantId from JWT claims
- role from JWT claims
- tenantId from request body
- role from request body
- membershipId from client
- company name as tenant identity
The only accepted tenant selector in this task is:
X-IAMONIT-Tenant-Id
and it must always be checked against the authenticated user's active
membership.
16. OUT OF SCOPE
Do NOT:
- modify auth.controller.ts
- modify users.controller.ts
- apply guards to HTTP endpoints yet
- modify auth.service.ts
- modify auth.repository.ts
- modify jwt.strategy.ts unless compilation absolutely requires a type-only
  compatibility change
- modify registration DTOs
- modify login DTO
- modify frontend
- modify migrations
- modify RLS
- remove app_users
- create tenant-switcher UI
- access hosted Supabase
- modify package dependencies
- modify environment files</t>
  </si>
  <si>
    <t xml:space="preserve">- AuthGuard authenticates identity only.
- AuthGuard uses verifyIdentity(), not legacy verify().
- request.user after AuthGuard contains only userId.
- TenantContextGuard requires explicit X-IAMONIT-Tenant-Id.
- Missing/malformed tenant context is safely rejected.
- Requested tenant is verified against active PostgreSQL membership.
- Inactive membership does not grant access.
- Inactive tenant does not grant access.
- Successful tenant verification produces:
  userId, membershipId, tenantId, role.
- RolesGuard uses the verified tenant-specific role.
- Same user can have different authorization roles in different tenants.
- No global application role is assumed.
- Supabase access token remains tenant-agnostic.
- Existing registration/login behavior remains operational.
- Existing API tests continue passing.
- New guard tests pass.
- API build/typecheck passes.
- Task-agent tests pass.
- No frontend changes.
- No controller changes.
- No migration/RLS changes.
- No hosted operation occurs.</t>
  </si>
  <si>
    <t>CODE-055</t>
  </si>
  <si>
    <t>Expose multi-tenant authentication HTTP endpoints</t>
  </si>
  <si>
    <t xml:space="preserve">This is a controller-only compatibility task.
Do not change frontend code.
Do not change AuthService orchestration.
Do not change AuthRepository.
Do not change guards.
Do not change JwtStrategy.
Do not change migrations or RLS.
Do not remove legacy authentication endpoints.
The goal is to expose the already-implemented CODE-052 multi-tenant service
methods through HTTP while preserving the currently working frontend.
1. TRANSPORTER REGISTRATION ENDPOINT
Add:
POST /auth/register/transporter
Request DTO:
RegisterTransporterDto
Delegate directly to:
AuthService.registerTransporter()
Success status:
201 Created
Response:
MultiTenantAuthResponseDto
The controller must not:
- accept a role
- accept tenantId
- accept membershipId
- derive an application role
- perform database operations directly
- perform Supabase operations directly
The service remains responsible for orchestration.
2. CAR-PULLER REGISTRATION ENDPOINT
Add:
POST /auth/register/car-puller
Request DTO:
RegisterCarPullerDto
Delegate directly to:
AuthService.registerCarPuller()
Success status:
201 Created
Response:
MultiTenantAuthResponseDto
Company name must not be required or accepted by the DTO.
The controller must not create or select a tenant.
3. MULTI-TENANT LOGIN ENDPOINT
Add a transitional endpoint:
POST /auth/login/multi-tenant
Request DTO:
LoginDto
Delegate directly to:
AuthService.loginMultiTenant()
Success status:
200 OK
Response:
MultiTenantAuthResponseDto
This route is transitional so the frontend can migrate safely without
breaking the existing POST /auth/login route.
Do not perform tenant selection in the controller.
Service behavior remains:
- zero active memberships -&gt; selectedMembership = null
- exactly one active membership -&gt; selected automatically
- multiple active memberships -&gt; selectedMembership = null
4. PRESERVE LEGACY ROUTES
The following existing routes must remain unchanged:
POST /auth/register
POST /auth/login
They currently support the existing frontend and must continue to delegate to
the existing legacy AuthService methods.
Do not rename them.
Do not remove them.
Do not change their request DTOs.
Do not change their response contracts in CODE-055.
5. ROUTE SECURITY
All registration/login endpoints in this task remain public authentication
entry points.
Do not apply:
AuthGuard
TenantContextGuard
RolesGuard
to these registration/login routes.
Tenant-context authorization belongs on authenticated tenant-scoped business
APIs, not login/register endpoints.
6. SWAGGER / RESPONSE CONTRACT
Document the new endpoints consistently with existing controller conventions.
Use MultiTenantAuthResponseDto for:
POST /auth/register/transporter
POST /auth/register/car-puller
POST /auth/login/multi-tenant
Preserve legacy AuthResponseDto documentation for legacy endpoints.
7. CONTROLLER RESPONSIBILITY
Keep the controller thin.
Allowed responsibility:
- accept validated DTO
- call corresponding AuthService method
- return service result
Do not add:
- business orchestration
- membership lookup
- profile lookup
- tenant creation logic
- Supabase logic
- token parsing
- compensation logic
8. TESTS
Update auth.controller.spec.ts to cover at minimum:
TRANSPORTER
- POST-equivalent controller method delegates to registerTransporter()
- exact RegisterTransporterDto-shaped input is passed through
- service result is returned unchanged
- no client role field is introduced
CAR PULLER
- delegates to registerCarPuller()
- input contains no companyName requirement
- service result is returned unchanged
MULTI-TENANT LOGIN
- delegates to loginMultiTenant()
- exact LoginDto-shaped input is passed through
- multi-tenant result is returned unchanged
LEGACY REGRESSION
- existing register controller behavior still works
- existing login controller behavior still works
- existing controller tests continue passing
METADATA / ROUTING
Verify through controller metadata/testing as appropriate:
- transporter registration route exists
- car-puller registration route exists
- multi-tenant login route exists
- transporter registration uses 201
- car-puller registration uses 201
- multi-tenant login uses 200
- legacy routes still exist
9. OUT OF SCOPE
Do NOT:
- modify auth.service.ts
- modify auth.repository.ts
- modify jwt.strategy.ts
- modify AuthGuard
- modify TenantContextGuard
- modify RolesGuard
- modify registration DTO implementations
- modify auth response DTO implementations
- modify frontend
- remove legacy routes
- alter database schema
- modify migrations
- alter RLS
- modify package dependencies
- modify environment files
- access hosted Supabase</t>
  </si>
  <si>
    <t xml:space="preserve">- POST /auth/register/transporter exists.
- It accepts RegisterTransporterDto.
- It returns the multi-tenant auth response.
- It delegates only to registerTransporter().
- POST /auth/register/car-puller exists.
- It accepts RegisterCarPullerDto.
- It returns the multi-tenant auth response.
- It delegates only to registerCarPuller().
- POST /auth/login/multi-tenant exists.
- It accepts LoginDto.
- It delegates only to loginMultiTenant().
- It returns the multi-tenant auth response.
- Legacy POST /auth/register remains operational.
- Legacy POST /auth/login remains operational.
- No tenant or role is selected in the controller.
- No auth guard is applied to registration/login routes.
- Existing API tests continue passing.
- New controller tests pass.
- API build/typecheck passes.
- Task-agent tests pass.
- No frontend files change.
- No guard changes.
- No service/repository changes.
- No migration/RLS changes.
- No hosted operation occurs.</t>
  </si>
  <si>
    <t>CODE-056</t>
  </si>
  <si>
    <t>authentication</t>
  </si>
  <si>
    <t>apps/web/lib/auth.types.ts; apps/web/lib/api.ts; apps/web/lib/api.test.ts; apps/web/lib/auth.ts; apps/web/lib/auth.test.ts; apps/web/app/(auth)/login/page.tsx; apps/web/app/(auth)/login/page.test.tsx; apps/web/app/(auth)/register/page.tsx; apps/web/app/(auth)/register/page.test.tsx; apps/web/app/(auth)/register/transporter/page.tsx; apps/web/app/(auth)/register/transporter/page.test.tsx; apps/web/app/(auth)/register/car-puller/page.tsx; apps/web/app/(auth)/register/car-puller/page.test.tsx</t>
  </si>
  <si>
    <t>Migrate frontend authentication to transporter and car-puller multi-tenant flows</t>
  </si>
  <si>
    <t xml:space="preserve">This task migrates the browser authentication experience to the new
multi-tenant backend contracts.
Do not modify backend code.
Do not modify migrations or RLS.
Do not modify Supabase server configuration.
Do not implement dashboards yet.
Do not implement invitations yet.
Do not implement the existing-user-create-second-transporter flow yet.
Do not implement tenant-scoped business APIs yet.
1. FRONTEND MULTI-TENANT TYPES
Update auth.types.ts to represent the backend multi-tenant response.
Keep or temporarily preserve legacy frontend types only where required for
compatibility tests.
Add types equivalent to:
AuthSession:
- accessToken
- refreshToken
- expiresIn
- expiresAt
- tokenType
UserProfile:
- userId
- email
- fullName
- phone
MembershipStatus:
- active
- suspended
- removed
MembershipSummary:
- membershipId
- tenantId
- tenantName
- role
- status
MultiTenantAuthResponse:
- session
- requiresEmailConfirmation
- profile
- memberships
- selectedMembership
selectedMembership must allow null.
Supported roles remain:
- admin
- dispatcher
- car_puller
2. FRONTEND API CLIENT
Add/update API functions for exactly:
registerTransporter(...)
  -&gt; POST /auth/register/transporter
registerCarPuller(...)
  -&gt; POST /auth/register/car-puller
loginMultiTenant(...)
  -&gt; POST /auth/login/multi-tenant
Transporter request payload:
{
  email,
  password,
  companyName,
  fullName,
  phone
}
Car-puller payload:
{
  email,
  password,
  fullName,
  phone
}
Login payload:
{
  email,
  password
}
Do not send:
- confirmPassword
- role
- tenantId
- membershipId
Validate the multi-tenant response shape safely.
Do not accept malformed profile/membership/session responses.
3. SESSION INSTALLATION
Continue using the existing browser Supabase client/session mechanism.
When the backend returns a non-null session:
install the Supabase session using the existing safe browser-session approach.
Do NOT manually store access tokens or refresh tokens in localStorage.
Do NOT invent custom JWT handling.
Email-confirmation behavior must continue working when session is null.
4. FRONTEND AUTH APPLICATION STATE
Update the existing auth helper/state so it can retain:
- profile
- memberships
- selectedMembership
The application context is not an authorization source.
Tenant authorization will always be revalidated by the backend.
Do not treat selectedMembership as proof of authorization.
Do not place role or tenant identity inside the Supabase token.
5. REGISTER LANDING PAGE
Change:
/register
from the current single transporter-style form into the account-type choice
screen matching the proposed IAMONIT product design.
Present two clear actions:
"Sign Up as a Transporter"
and
"Sign Up as a Car Puller"
Transporter action navigates to:
/register/transporter
Car Puller action navigates to:
/register/car-puller
The page itself must not submit an authentication request.
6. TRANSPORTER REGISTRATION PAGE
Create:
/register/transporter
Use the existing IAMONIT registration styling where practical.
Fields:
- Full name
- Company name
- Email address
- Phone number
- Password
- Confirm password
Do not show a role selector.
Client validation:
- required fields
- valid email
- existing approved password rule
- password confirmation
- phone in international/E.164-compatible format
Example accepted phone format:
+14694681177
confirmPassword is client-only.
Submit exactly:
{
  email,
  password,
  companyName,
  fullName,
  phone
}
to registerTransporter().
7. TRANSPORTER SUCCESS BEHAVIOR
On successful transporter registration:
- install returned Supabase session when non-null
- retain returned profile
- retain memberships
- retain selectedMembership
The backend should normally return exactly one active admin membership.
Do not recalculate or manufacture admin role in the browser.
Use the backend response.
Until the transporter dashboard is implemented:
redirect successful authenticated registration to:
/
If email confirmation is required:
do not pretend the user is authenticated.
Show the existing clear confirmation-required guidance.
8. CAR-PULLER REGISTRATION PAGE
Create:
/register/car-puller
Fields:
- Full name
- Email address
- Phone number
- Password
- Confirm password
Do NOT show:
- Company name
- Role
- Tenant
- Membership
Use the same email/password/phone/confirmation validation conventions.
Submit exactly:
{
  email,
  password,
  fullName,
  phone
}
to registerCarPuller().
9. CAR-PULLER SUCCESS BEHAVIOR
A newly registered car puller is valid with:
memberships = []
selectedMembership = null
Do not treat zero memberships as registration failure.
Do not invent a transporter/company.
Do not invent a car_puller membership.
Membership will be created later through invitation/joining.
Install session when provided.
Until the car-puller task/dashboard experience is implemented:
redirect authenticated success to:
/
If email confirmation is required:
show confirmation guidance instead.
10. LOGIN PAGE MIGRATION
Change the frontend login flow to call:
POST /auth/login/multi-tenant
through loginMultiTenant().
Stop using the legacy login endpoint from the active login UI.
Do not remove backend legacy endpoint compatibility in this task.
11. LOGIN WITH ZERO MEMBERSHIPS
Zero active memberships is valid.
Example:
new independent car puller.
Behavior:
- install Supabase session
- retain profile
- memberships = []
- selectedMembership = null
- allow successful authentication
Until zero-membership onboarding/dashboard exists:
redirect to /.
Do not display "account not configured" merely because memberships are empty.
12. LOGIN WITH EXACTLY ONE MEMBERSHIP
When backend returns exactly one active membership and selectedMembership is
that membership:
- retain the membership
- retain selectedMembership
- redirect to /
Do not independently recalculate selection if the backend response is valid.
13. LOGIN WITH MULTIPLE MEMBERSHIPS
When more than one active membership is returned and:
selectedMembership = null
do NOT arbitrarily choose the first membership.
Do NOT silently choose a tenant by:
- array order
- role
- company name
- previous tenant
- JWT content
Instead, display a tenant/company selection UI after successful login.
The selection UI may remain within the login flow for this task rather than
introducing a separate route.
Display each membership using at least:
- tenantName
- role
When the user selects one:
- choose that exact returned MembershipSummary as the active client context
- do not alter the Supabase token
- do not send a server authorization request merely to select it in this task
- redirect to / after selection
The selected tenant will later be supplied as X-IAMONIT-Tenant-Id to
tenant-scoped API calls, where the backend will revalidate membership.
14. SAFE MEMBERSHIP SELECTION
A selected membership must exist in the memberships returned by the backend.
Do not allow arbitrary tenantId text entry.
Do not allow arbitrary role selection.
Do not construct a fake membership object from user input.
15. ERROR HANDLING
Continue displaying safe user-facing errors.
Do not display:
- Supabase internals
- raw PostgreSQL errors
- JWTs
- access tokens
- refresh tokens
- stack traces
Preserve duplicate-email and authentication error behavior.
Duplicate transporter company display name must not be treated as a frontend
validation conflict.
16. DOUBLE SUBMISSION
Preserve existing loading/double-submit protection on:
- transporter registration
- car-puller registration
- login
17. LEGACY FRONTEND AUTH COMPATIBILITY
The active UI should now use the new multi-tenant APIs.
Legacy frontend helpers/types may remain only if required temporarily by
unrelated code, but must not drive the active login/register pages.
Do not modify backend legacy routes.
18. TESTS — API CLIENT
Cover:
- transporter endpoint/path
- exact transporter payload
- car-puller endpoint/path
- exact car-puller payload
- multi-tenant login endpoint/path
- exact login payload
- valid multi-tenant response
- malformed profile rejected
- malformed membership rejected
- malformed selectedMembership rejected
- session-null confirmation response accepted
19. TESTS — REGISTER LANDING
Cover:
- displays Sign Up as a Transporter
- displays Sign Up as a Car Puller
- transporter navigation target
- car-puller navigation target
- no registration API call from account-type selection page
20. TESTS — TRANSPORTER REGISTRATION
Cover:
- company name exists
- no role selector
- phone format validation
- confirm password client-only
- exact backend payload
- calls registerTransporter()
- double-submit prevention
- confirmation-required guidance
- session installation
- successful redirect
21. TESTS — CAR-PULLER REGISTRATION
Cover:
- company name absent
- role selector absent
- exact backend payload
- calls registerCarPuller()
- zero memberships accepted
- selectedMembership null accepted
- confirmation behavior
- session installation
- successful redirect
22. TESTS — LOGIN
Cover:
- calls loginMultiTenant()
- session installation
- zero memberships succeeds
- one membership succeeds
- one selected membership retained
- multiple memberships do not auto-select first membership
- membership chooser is displayed for multiple memberships
- chooser displays tenant name and role
- selecting a returned membership stores that exact membership
- arbitrary/fake membership cannot be selected
- successful selection redirects
- loading/double-submit behavior preserved
- safe errors preserved
23. SECURITY
Do not:
- persist accessToken manually
- persist refreshToken manually
- trust tenant/role as authorization
- create JWT claims
- accept arbitrary membership/tenant selection
- send X-IAMONIT-Tenant-Id to login/register endpoints
- expose secret values
24. OUT OF SCOPE
Do NOT:
- modify backend files
- modify database schema
- modify migrations
- modify RLS
- implement transporter dashboard
- implement car-puller dashboard
- implement work orders
- implement invitations
- implement tenant switcher in application navigation
- implement existing-user create-new-transporter flow
- implement protected-route framework
- implement logout changes unless compilation requires compatibility
- install unrelated dependencies
- modify environment files
- access hosted Supabase</t>
  </si>
  <si>
    <t xml:space="preserve">- /register presents Transporter and Car Puller signup choices.
- /register/transporter exists.
- /register/car-puller exists.
- Transporter form includes companyName.
- Car Puller form excludes companyName.
- Neither form includes a role selector.
- Transporter form calls /auth/register/transporter.
- Car Puller form calls /auth/register/car-puller.
- Login uses /auth/login/multi-tenant.
- Frontend understands profile + memberships + selectedMembership.
- Zero-membership login succeeds.
- Exactly one membership can remain selected from backend response.
- Multiple memberships are not arbitrarily auto-selected.
- Multiple memberships produce explicit company-selection UI.
- Membership choice comes only from server-returned memberships.
- Supabase session installation continues working.
- Email-confirmation behavior continues working.
- Existing safe error behavior continues working.
- Phone E.164-compatible validation remains.
- Double-submit prevention remains.
- Frontend tests pass.
- Frontend TypeScript check passes.
- Frontend lint passes.
- Frontend production build passes.
- Task-agent tests pass.
- No backend files change.
- No migration/RLS changes.
- No hosted operation occurs.</t>
  </si>
  <si>
    <t>CODE-057</t>
  </si>
  <si>
    <t>users</t>
  </si>
  <si>
    <t>apps/api/src/modules/users/users.types.ts; apps/api/src/modules/users/users.repository.ts; apps/api/src/modules/users/users.repository.spec.ts; apps/api/src/modules/users/users.service.ts; apps/api/src/modules/users/users.service.spec.ts; apps/api/src/modules/users/users.module.ts</t>
  </si>
  <si>
    <t>Create tenant-scoped users repository and service foundation</t>
  </si>
  <si>
    <t xml:space="preserve">This task creates the data-access and service foundation required by the
future CODE-010 GET /users controller.
Do not modify users.controller.ts in CODE-057.
Do not create GET /users yet.
Do not modify authentication controllers.
Do not modify frontend code.
Do not modify database migrations or RLS.
Do not use the legacy app_users table.
1. TENANT USER MODEL
Create a tenant-user application type representing a user belonging to the
requested tenant.
At minimum expose:
- userId
- membershipId
- email
- fullName
- phone
- role
- status
Use the existing AuthRole / MembershipStatus definitions where practical
rather than introducing incompatible duplicate role/status values.
Do not expose:
- password hashes
- Supabase tokens
- refresh tokens
- raw auth metadata
- unrelated tenant memberships
2. USERS REPOSITORY
Create UsersRepository following the repository/database conventions already
used by AuthRepository.
Use the configured PostgreSQL database URL through the existing Nest
configuration pattern.
Create a method equivalent to:
findActiveUsersByTenantId(tenantId)
The query must be tenant-scoped at the SQL level.
The authoritative source must be:
tenant_memberships
joined with:
user_profiles
and, only where needed for the user's email:
auth.users
Also verify the tenant itself is active through tenants where appropriate.
3. SQL TENANT ISOLATION
The query must include an explicit parameterized tenant predicate equivalent
to:
WHERE tenant_memberships.tenant_id = $1
Never interpolate tenantId into SQL text.
The requested tenant UUID must be passed as a query parameter.
No row belonging to another tenant may be returned.
Do not:
- fetch all users and filter in JavaScript
- fetch all memberships and filter in the service
- use app_users.tenant_id
- rely on JWT tenant claims
- rely on browser role/tenant values
4. MEMBERSHIP STATUS
For GET /users foundation behavior, return only active memberships.
Equivalent requirement:
tenant_memberships.status = 'active'
Suspended and removed memberships must not appear in this initial active-user
listing.
5. TENANT STATUS
Do not return users for suspended or archived tenants.
The repository may enforce this by joining tenants and requiring:
tenants.status = 'active'
This is defense in depth in addition to TenantContextGuard.
6. PROFILE JOIN
User identity/profile data must come from the new architecture.
Use:
tenant_memberships.user_id
    -&gt;
user_profiles.user_id
Email may be read from the corresponding auth.users identity where required.
Do not make app_users authoritative.
7. MULTI-TENANT CORRECTNESS
The same user may belong to:
Tenant A as admin
Tenant B as dispatcher
Tenant C as car_puller
A query for Tenant B must return only that user's Tenant B membership role.
It must not return:
- Tenant A role
- Tenant C role
- another tenant's membershipId
Membership role is tenant-specific.
8. USERS SERVICE
Update UsersService to depend on UsersRepository.
Provide a thin method equivalent to:
listTenantUsers(context: TenantRequestContext)
The tenant identifier used for the repository call must come from:
context.tenantId
The service must not accept an arbitrary independent tenantId argument from
the future controller.
The TenantRequestContext represents the context previously verified by:
AuthGuard
  -&gt;
TenantContextGuard
Do not derive tenant context from:
- request headers directly
- JWT claims
- query parameters
- request body
- browser role values
9. SERVICE RESPONSIBILITY
UsersService should:
- receive verified TenantRequestContext
- call UsersRepository using context.tenantId
- return the tenant-user list
- safely map database failures if repository conventions require mapping
UsersService should NOT:
- parse bearer tokens
- parse X-IAMONIT-Tenant-Id
- perform role authorization
- access Supabase Auth
- select a tenant
- query app_users
10. MODULE WIRING
Update UsersModule to register UsersRepository using the same safe database
configuration style as AuthRepository.
Import AuthModule if required so the future CODE-010 controller can use the
already-exported:
AuthGuard
TenantContextGuard
RolesGuard
Do not apply guards globally.
Do not change routes in CODE-057.
11. ERROR SAFETY
Database failures must not expose:
- SQL
- connection strings
- PostgreSQL internals
- credentials
- stack traces
Follow existing safe API error conventions.
Do not swallow unexpected errors silently.
12. REPOSITORY TESTS
Cover at minimum:
- query is scoped by tenantId
- tenantId is passed as a parameter
- tenantId is not interpolated into SQL
- only active memberships are requested
- only active tenant is requested
- query uses tenant_memberships
- query uses user_profiles
- app_users is not used
- returned rows map to tenant-user records
- zero rows returns []
- same user can produce different tenant-specific roles when different tenant
  queries are performed
- another tenant's rows are not returned by a tenant-scoped query
- database client/resources are handled according to repository conventions
13. SERVICE TESTS
Cover at minimum:
- service uses context.tenantId
- service delegates once to UsersRepository
- service does not accept a second arbitrary tenant selector
- repository result is returned
- zero users returns []
- tenant-specific role is preserved
- safe database errors are preserved/mapped according to application
  conventions
14. SECURITY BOUNDARY
CODE-057 establishes this foundation:
verified TenantRequestContext
        |
        v
UsersService
        |
        | context.tenantId
        v
UsersRepository
        |
        v
WHERE tenant_memberships.tenant_id = $1
        |
        v
Only requested tenant's active members
The future controller must not be required to perform database filtering.
15. OUT OF SCOPE
Do NOT:
- modify users.controller.ts
- implement GET /users
- add controller decorators
- change AuthGuard
- change TenantContextGuard
- change RolesGuard
- change JwtStrategy
- modify AuthRepository
- modify auth controllers
- modify auth service
- modify frontend
- modify migrations
- modify RLS
- modify Supabase configuration
- modify environment files
- access hosted Supabase
- remove legacy authentication endpoints
- remove app_users table yet
- install unrelated dependencies</t>
  </si>
  <si>
    <t xml:space="preserve">- UsersRepository exists.
- UsersRepository uses the new multi-tenant schema.
- UsersRepository does not use app_users.
- UsersRepository filters by tenant ID in SQL.
- Tenant ID is parameterized.
- Only active tenant memberships are returned.
- Suspended/removed memberships are excluded.
- Suspended/archived tenants cannot produce a list.
- User profiles come from user_profiles.
- Tenant-specific roles come from tenant_memberships.
- Same user may have different roles in different tenants.
- No cross-tenant users are returned.
- UsersService exists as a real implementation.
- UsersService receives TenantRequestContext.
- UsersService uses the verified context tenantId.
- UsersService does not parse headers/tokens.
- UsersModule wires the repository/service dependencies.
- Existing API tests continue passing.
- New users repository tests pass.
- New users service tests pass.
- API build/typecheck passes.
- Task-agent tests pass.
- git diff --check passes.
- users.controller.ts remains unchanged.
- No frontend files change.
- No migrations/RLS change.
- No hosted operation occurs.</t>
  </si>
  <si>
    <t>CODE-010</t>
  </si>
  <si>
    <t>apps/api/src/modules/users/users.controller.ts</t>
  </si>
  <si>
    <t>Build users controller</t>
  </si>
  <si>
    <t>GET /users returns tenant users.</t>
  </si>
  <si>
    <t>No cross-tenant users returned</t>
  </si>
  <si>
    <t>CODE-011</t>
  </si>
  <si>
    <t>apps/api/src/modules/users/users.service.ts</t>
  </si>
  <si>
    <t>Build users service</t>
  </si>
  <si>
    <t>Find users by tenant and update roles.</t>
  </si>
  <si>
    <t>Role changes restricted to admin</t>
  </si>
  <si>
    <t>CODE-012</t>
  </si>
  <si>
    <t>invitations</t>
  </si>
  <si>
    <t>apps/api/src/modules/invitations/invitations.controller.ts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</si>
  <si>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</si>
  <si>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</si>
  <si>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</si>
  <si>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</si>
  <si>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</si>
  <si>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</si>
  <si>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</si>
  <si>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</si>
  <si>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</si>
  <si>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</si>
  <si>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apps/api/src/modules/tasks/dto/create-task.dto.ts</t>
  </si>
  <si>
    <t>Create CreateTaskDto</t>
  </si>
  <si>
    <t>Fields: assignedTo, notes, priority, workOrderFileId.</t>
  </si>
  <si>
    <t>Bad task payload rejected</t>
  </si>
  <si>
    <t>CODE-015</t>
  </si>
  <si>
    <t>apps/api/src/modules/tasks/tasks.controller.ts</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</si>
  <si>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</si>
  <si>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</si>
  <si>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</si>
  <si>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</si>
  <si>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</si>
  <si>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</si>
  <si>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</si>
  <si>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</si>
  <si>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</si>
  <si>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</si>
  <si>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</si>
  <si>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</si>
  <si>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</si>
  <si>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</si>
  <si>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apps/api/src/modules/uploads/uploads.controller.ts</t>
  </si>
  <si>
    <t>Build signed URL endpoint</t>
  </si>
  <si>
    <t>POST /uploads/signed-url.</t>
  </si>
  <si>
    <t>Returns signed upload URL</t>
  </si>
  <si>
    <t>CODE-019</t>
  </si>
  <si>
    <t>apps/api/src/modules/uploads/uploads.service.ts</t>
  </si>
  <si>
    <t>Generate tenant-scoped storage paths</t>
  </si>
  <si>
    <t>Path format: tenant/{tenant_id}/tasks/{task_id}/file.</t>
  </si>
  <si>
    <t>Storage path cannot escape tenant</t>
  </si>
  <si>
    <t>CODE-020</t>
  </si>
  <si>
    <t>task-updates</t>
  </si>
  <si>
    <t>apps/api/src/modules/task-updates/task-updates.controller.ts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</si>
  <si>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</si>
  <si>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</si>
  <si>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</si>
  <si>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</si>
  <si>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</si>
  <si>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</si>
  <si>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</si>
  <si>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</si>
  <si>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</si>
  <si>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apps/web/app/(auth)/login/page.tsx</t>
  </si>
  <si>
    <t>Build login page</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</si>
  <si>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</si>
  <si>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</si>
  <si>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CODE-023</t>
  </si>
  <si>
    <t>apps/web/app/(auth)/register/page.tsx</t>
  </si>
  <si>
    <t>Build registration page</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</si>
  <si>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</si>
  <si>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</si>
  <si>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CODE-026</t>
  </si>
  <si>
    <t>layout</t>
  </si>
  <si>
    <t>apps/web/components/layout/Sidebar.tsx</t>
  </si>
  <si>
    <t>Build sidebar navigation</t>
  </si>
  <si>
    <t>Role-based nav items.</t>
  </si>
  <si>
    <t>Car puller/admin see correct nav</t>
  </si>
  <si>
    <t>CODE-027</t>
  </si>
  <si>
    <t>apps/web/components/layout/Topbar.tsx</t>
  </si>
  <si>
    <t>Build topbar</t>
  </si>
  <si>
    <t>Tenant name, user menu, notification bell.</t>
  </si>
  <si>
    <t>IAM-024,IAM-047</t>
  </si>
  <si>
    <t>Topbar shows current context</t>
  </si>
  <si>
    <t>CODE-028</t>
  </si>
  <si>
    <t>apps/web/app/(dashboard)/tasks/page.tsx</t>
  </si>
  <si>
    <t>Filters, search, cards/table.</t>
  </si>
  <si>
    <t>IAM-033,IAM-051</t>
  </si>
  <si>
    <t>Task list usable</t>
  </si>
  <si>
    <t>CODE-029</t>
  </si>
  <si>
    <t>apps/web/app/(dashboard)/tasks/new/page.tsx</t>
  </si>
  <si>
    <t>Form with assigned car puller, notes, work order upload.</t>
  </si>
  <si>
    <t>Task can be created</t>
  </si>
  <si>
    <t>CODE-030</t>
  </si>
  <si>
    <t>apps/web/app/(dashboard)/tasks/[id]/page.tsx</t>
  </si>
  <si>
    <t>Task status, notes, timeline, action buttons.</t>
  </si>
  <si>
    <t>Task details display</t>
  </si>
  <si>
    <t>CODE-031</t>
  </si>
  <si>
    <t>apps/web/components/tasks/TaskTimeline.tsx</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</si>
  <si>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</si>
  <si>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</si>
  <si>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</si>
  <si>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</si>
  <si>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</si>
  <si>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</si>
  <si>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</si>
  <si>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</si>
  <si>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</si>
  <si>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</si>
  <si>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</si>
  <si>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</si>
  <si>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</si>
  <si>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</si>
  <si>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</si>
  <si>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</si>
  <si>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</si>
  <si>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</si>
  <si>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supabase/migrations/20260804165923_create_tenants.sql</t>
  </si>
  <si>
    <t>Create tenants migration</t>
  </si>
  <si>
    <t xml:space="preserve">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</si>
  <si>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 xml:space="preserve">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</si>
  <si>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</si>
  <si>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</si>
  <si>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</si>
  <si>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</si>
  <si>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</si>
  <si>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</si>
  <si>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</si>
  <si>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</si>
  <si>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</si>
  <si>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</si>
  <si>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</si>
  <si>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</si>
  <si>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</si>
  <si>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</si>
  <si>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</si>
  <si>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apps/api/test/tasks.spec.ts</t>
  </si>
  <si>
    <t>Write task service tests</t>
  </si>
  <si>
    <t>Create/list/status transition tests.</t>
  </si>
  <si>
    <t>Tests pass</t>
  </si>
  <si>
    <t>CODE-040</t>
  </si>
  <si>
    <t>e2e</t>
  </si>
  <si>
    <t>Write E2E MVP test</t>
  </si>
  <si>
    <t>Register, create task, accept, upload proof, complete.</t>
  </si>
  <si>
    <t>E2E flow passes</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</si>
  <si>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</si>
  <si>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</si>
  <si>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</si>
  <si>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</si>
  <si>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</si>
  <si>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</si>
  <si>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</si>
  <si>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</si>
  <si>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</si>
  <si>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</si>
  <si>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</si>
  <si>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</si>
  <si>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</si>
  <si>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</si>
  <si>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</si>
  <si>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</si>
  <si>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</si>
  <si>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</si>
  <si>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</si>
  <si>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</si>
  <si>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</si>
  <si>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</si>
  <si>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</si>
  <si>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</si>
  <si>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</si>
  <si>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</si>
  <si>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</si>
  <si>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</si>
  <si>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supabase/migrations/20260804164436_audit_trigger.sql</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</si>
  <si>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</si>
  <si>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</si>
  <si>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</si>
  <si>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CODE-047</t>
  </si>
  <si>
    <t>supabase/migrations/20260804234822_create_app_users.sql</t>
  </si>
  <si>
    <t>Create app_users migration</t>
  </si>
  <si>
    <t xml:space="preserve">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</si>
  <si>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 xml:space="preserve">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</si>
  <si>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</si>
  <si>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</si>
  <si>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</si>
  <si>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</si>
  <si>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</si>
  <si>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</si>
  <si>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</si>
  <si>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</si>
  <si>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</si>
  <si>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</si>
  <si>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</si>
  <si>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</si>
  <si>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</si>
  <si>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</si>
  <si>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</si>
  <si>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</si>
  <si>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</si>
  <si>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</si>
  <si>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</si>
  <si>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</si>
  <si>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</si>
  <si>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</si>
  <si>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</si>
  <si>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</si>
  <si>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</si>
  <si>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</si>
  <si>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</si>
  <si>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</si>
  <si>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</si>
  <si>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</si>
  <si>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</si>
  <si>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</si>
  <si>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</si>
  <si>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</si>
  <si>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</si>
  <si>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</si>
  <si>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</si>
  <si>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</si>
  <si>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</si>
  <si>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</si>
  <si>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</si>
  <si>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</si>
  <si>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</si>
  <si>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</si>
  <si>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</si>
  <si>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</si>
  <si>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</si>
  <si>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</si>
  <si>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</si>
  <si>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</si>
  <si>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</si>
  <si>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</si>
  <si>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</si>
  <si>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</si>
  <si>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</si>
  <si>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</si>
  <si>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</si>
  <si>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</si>
  <si>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</si>
  <si>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</si>
  <si>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</si>
  <si>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</si>
  <si>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</si>
  <si>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</si>
  <si>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</si>
  <si>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</si>
  <si>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</si>
  <si>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</si>
  <si>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</si>
  <si>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</si>
  <si>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</si>
  <si>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</si>
  <si>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</si>
  <si>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</si>
  <si>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</si>
  <si>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</si>
  <si>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</si>
  <si>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</si>
  <si>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</si>
  <si>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</si>
  <si>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</si>
  <si>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</si>
  <si>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</si>
  <si>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</si>
  <si>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</si>
  <si>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</si>
  <si>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</si>
  <si>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</si>
  <si>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</si>
  <si>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</si>
  <si>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</si>
  <si>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</si>
  <si>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</si>
  <si>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</si>
  <si>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</si>
  <si>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</si>
  <si>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</si>
  <si>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</si>
  <si>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</si>
  <si>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</si>
  <si>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</si>
  <si>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</si>
  <si>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</si>
  <si>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</si>
  <si>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</si>
  <si>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</si>
  <si>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</si>
  <si>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</si>
  <si>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</si>
  <si>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</si>
  <si>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</si>
  <si>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</si>
  <si>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</si>
  <si>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</si>
  <si>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</si>
  <si>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</si>
  <si>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</si>
  <si>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</si>
  <si>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</si>
  <si>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</si>
  <si>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</si>
  <si>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</si>
  <si>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</si>
  <si>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</si>
  <si>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</si>
  <si>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</si>
  <si>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</si>
  <si>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</si>
  <si>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</si>
  <si>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</si>
  <si>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</si>
  <si>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</si>
  <si>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</si>
  <si>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</si>
  <si>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</si>
  <si>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</si>
  <si>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</si>
  <si>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</si>
  <si>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</si>
  <si>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</si>
  <si>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</si>
  <si>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</si>
  <si>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</si>
  <si>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</si>
  <si>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</si>
  <si>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</si>
  <si>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</si>
  <si>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IAM-009,IAM-017</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</si>
  <si>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</si>
  <si>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</si>
  <si>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</si>
  <si>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</si>
  <si>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</si>
  <si>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</si>
  <si>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</si>
  <si>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</si>
  <si>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</si>
  <si>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</si>
  <si>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</si>
  <si>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</si>
  <si>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</si>
  <si>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</si>
  <si>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</si>
  <si>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</si>
  <si>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</si>
  <si>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</si>
  <si>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</si>
  <si>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</si>
  <si>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</si>
  <si>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</si>
  <si>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</si>
  <si>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</si>
  <si>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</si>
  <si>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</si>
  <si>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</si>
  <si>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</si>
  <si>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</si>
  <si>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</si>
  <si>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</si>
  <si>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</si>
  <si>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</si>
  <si>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</si>
  <si>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</si>
  <si>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</si>
  <si>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</si>
  <si>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</si>
  <si>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</si>
  <si>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</si>
  <si>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</si>
  <si>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</si>
  <si>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</si>
  <si>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</si>
  <si>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</si>
  <si>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</si>
  <si>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</si>
  <si>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</si>
  <si>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</si>
  <si>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</si>
  <si>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</si>
  <si>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</si>
  <si>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</si>
  <si>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</si>
  <si>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</si>
  <si>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</si>
  <si>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</si>
  <si>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</si>
  <si>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</si>
  <si>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</si>
  <si>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</si>
  <si>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</si>
  <si>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</si>
  <si>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</si>
  <si>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</si>
  <si>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</si>
  <si>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</si>
  <si>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</si>
  <si>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</si>
  <si>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</si>
  <si>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</si>
  <si>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</si>
  <si>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</si>
  <si>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</si>
  <si>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</si>
  <si>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</si>
  <si>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</si>
  <si>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</si>
  <si>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</si>
  <si>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</si>
  <si>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D-003</t>
  </si>
  <si>
    <t>Separate Auth identity, user profile, and tenant membership.</t>
  </si>
  <si>
    <t>Rationale: One IAMONIT person may belong to multiple transporter companies and may hold different roles in different tenants. Supabase Auth identifies the person; tenant_memberships determines tenant authorization. Tenant display names are not global identity keys. Security boundary: Supabase access tokens remain tenant-agnostic. Tenant and role authorization must eventually be derived from verified PostgreSQL membership.</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</si>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</sst>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 d, yyyy"/>
    <numFmt numFmtId="165" formatCode="mmm d"/>
  </numFmts>
  <fonts count="8" x14ac:knownFonts="1">
    <font>
      <color theme="1"/>
      <family val="2"/>
      <scheme val="minor"/>
      <sz val="11"/>
      <name val="Calibri"/>
    </font>
    <font>
      <b/>
      <color rgb="FFFFFFFF"/>
      <family val="2"/>
      <sz val="20"/>
      <name val="Calibri"/>
    </font>
    <font>
      <i/>
      <color rgb="FF1F1F1F"/>
      <family val="2"/>
      <sz val="11"/>
      <name val="Calibri"/>
    </font>
    <font>
      <b/>
      <color rgb="FFFFFFFF"/>
      <family val="2"/>
      <sz val="14"/>
      <name val="Calibri"/>
    </font>
    <font>
      <b/>
      <color rgb="FFFFFFFF"/>
      <family val="2"/>
      <sz val="12"/>
      <name val="Calibri"/>
    </font>
    <font>
      <b/>
      <color rgb="FF0F766E"/>
      <family val="2"/>
      <sz val="18"/>
      <name val="Calibri"/>
    </font>
    <font>
      <b/>
      <color rgb="FFFFFFFF"/>
      <family val="2"/>
      <sz val="11"/>
      <name val="Calibri"/>
    </font>
    <font>
      <color rgb="FF0F766E"/>
      <family val="2"/>
      <sz val="11"/>
      <name val="Calibri"/>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8">
    <xf numFmtId="0" fontId="0" fillId="0" borderId="0" xfId="0"/>
    <xf numFmtId="0" fontId="1" fillId="2" borderId="0" xfId="0" applyFont="1" applyFill="1" applyAlignment="1">
      <alignment horizontal="center"/>
    </xf>
    <xf numFmtId="0" fontId="2" fillId="3" borderId="0" xfId="0" applyFont="1" applyFill="1" applyAlignment="1">
      <alignment horizontal="center"/>
    </xf>
    <xf numFmtId="0" fontId="3" fillId="4" borderId="0" xfId="0" applyFont="1" applyFill="1"/>
    <xf numFmtId="0" fontId="0" fillId="0" borderId="0" xfId="0" applyAlignment="1">
      <alignment vertical="top" wrapText="1"/>
    </xf>
    <xf numFmtId="0" fontId="4" fillId="5" borderId="0" xfId="0" applyFont="1" applyFill="1"/>
    <xf numFmtId="0" fontId="5" fillId="0" borderId="0" xfId="0" applyFont="1" applyAlignment="1">
      <alignment horizontal="center"/>
    </xf>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7" borderId="0" xfId="0" applyFill="1"/>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cellXfs>
  <cellStyles count="1">
    <cellStyle name="Normal" xfId="0" builtinId="0"/>
  </cellStyles>
  <dxfs count="30">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Views>
    <sheetView workbookViewId="0" showGridLines="0" zoomScale="100" zoomScaleNormal="100">
      <selection activeCell="A5" sqref="A5"/>
    </sheetView>
  </sheetViews>
  <sheetFormatPr defaultRowHeight="15" outlineLevelRow="0" outlineLevelCol="0" x14ac:dyDescent="0.2" defaultColWidth="8.83203125"/>
  <cols>
    <col min="1" max="1" width="16" customWidth="1"/>
    <col min="2" max="8" width="18" customWidth="1"/>
  </cols>
  <sheetData>
    <row r="1" ht="26" customHeight="1" spans="1:8" x14ac:dyDescent="0.25">
      <c r="A1" s="1" t="s">
        <v>0</v>
      </c>
      <c r="B1"/>
      <c r="C1"/>
      <c r="D1"/>
      <c r="E1"/>
      <c r="F1"/>
      <c r="G1"/>
      <c r="H1"/>
    </row>
    <row r="2" spans="1:8" x14ac:dyDescent="0.25">
      <c r="A2" s="2" t="s">
        <v>1</v>
      </c>
      <c r="B2"/>
      <c r="C2"/>
      <c r="D2"/>
      <c r="E2"/>
      <c r="F2"/>
      <c r="G2"/>
      <c r="H2"/>
    </row>
    <row r="4" ht="19" customHeight="1" spans="1:8" x14ac:dyDescent="0.25">
      <c r="A4" s="3" t="s">
        <v>2</v>
      </c>
      <c r="B4"/>
      <c r="C4"/>
      <c r="D4"/>
      <c r="E4"/>
      <c r="F4"/>
      <c r="G4"/>
      <c r="H4"/>
    </row>
    <row r="5" spans="1:8" x14ac:dyDescent="0.25">
      <c r="A5" s="4" t="s">
        <v>3</v>
      </c>
      <c r="B5"/>
      <c r="C5"/>
      <c r="D5"/>
      <c r="E5"/>
      <c r="F5"/>
      <c r="G5"/>
      <c r="H5"/>
    </row>
    <row r="6" spans="1:8" x14ac:dyDescent="0.25">
      <c r="A6"/>
      <c r="B6"/>
      <c r="C6"/>
      <c r="D6"/>
      <c r="E6"/>
      <c r="F6"/>
      <c r="G6"/>
      <c r="H6"/>
    </row>
    <row r="8" ht="19" customHeight="1" spans="1:8" x14ac:dyDescent="0.25">
      <c r="A8" s="3" t="s">
        <v>4</v>
      </c>
      <c r="B8"/>
      <c r="C8"/>
      <c r="D8"/>
      <c r="E8"/>
      <c r="F8"/>
      <c r="G8"/>
      <c r="H8"/>
    </row>
    <row r="9" spans="1:8" x14ac:dyDescent="0.25">
      <c r="A9" s="4" t="s">
        <v>5</v>
      </c>
      <c r="B9"/>
      <c r="C9"/>
      <c r="D9"/>
      <c r="E9"/>
      <c r="F9"/>
      <c r="G9"/>
      <c r="H9"/>
    </row>
    <row r="10" spans="1:8" x14ac:dyDescent="0.25">
      <c r="A10"/>
      <c r="B10"/>
      <c r="C10"/>
      <c r="D10"/>
      <c r="E10"/>
      <c r="F10"/>
      <c r="G10"/>
      <c r="H10"/>
    </row>
    <row r="12" ht="19" customHeight="1" spans="1:8" x14ac:dyDescent="0.25">
      <c r="A12" s="3" t="s">
        <v>6</v>
      </c>
      <c r="B12"/>
      <c r="C12"/>
      <c r="D12"/>
      <c r="E12"/>
      <c r="F12"/>
      <c r="G12"/>
      <c r="H12"/>
    </row>
    <row r="13" spans="1:8" x14ac:dyDescent="0.25">
      <c r="A13" s="4" t="s">
        <v>7</v>
      </c>
      <c r="B13"/>
      <c r="C13"/>
      <c r="D13"/>
      <c r="E13"/>
      <c r="F13"/>
      <c r="G13"/>
      <c r="H13"/>
    </row>
    <row r="14" spans="1:8" x14ac:dyDescent="0.25">
      <c r="A14"/>
      <c r="B14"/>
      <c r="C14"/>
      <c r="D14"/>
      <c r="E14"/>
      <c r="F14"/>
      <c r="G14"/>
      <c r="H14"/>
    </row>
    <row r="16" ht="19" customHeight="1" spans="1:8" x14ac:dyDescent="0.25">
      <c r="A16" s="3" t="s">
        <v>8</v>
      </c>
      <c r="B16"/>
      <c r="C16"/>
      <c r="D16"/>
      <c r="E16"/>
      <c r="F16"/>
      <c r="G16"/>
      <c r="H16"/>
    </row>
    <row r="17" spans="1:8" x14ac:dyDescent="0.25">
      <c r="A17" s="4" t="s">
        <v>9</v>
      </c>
      <c r="B17"/>
      <c r="C17"/>
      <c r="D17"/>
      <c r="E17"/>
      <c r="F17"/>
      <c r="G17"/>
      <c r="H17"/>
    </row>
    <row r="18" spans="1:8" x14ac:dyDescent="0.25">
      <c r="A18"/>
      <c r="B18"/>
      <c r="C18"/>
      <c r="D18"/>
      <c r="E18"/>
      <c r="F18"/>
      <c r="G18"/>
      <c r="H18"/>
    </row>
  </sheetData>
  <mergeCells count="10">
    <mergeCell ref="A1:H1"/>
    <mergeCell ref="A2:H2"/>
    <mergeCell ref="A4:H4"/>
    <mergeCell ref="A5:H6"/>
    <mergeCell ref="A8:H8"/>
    <mergeCell ref="A9:H10"/>
    <mergeCell ref="A12:H12"/>
    <mergeCell ref="A13:H14"/>
    <mergeCell ref="A16:H16"/>
    <mergeCell ref="A17:H18"/>
  </mergeCells>
  <pageMargins left="0.75" right="0.75" top="1" bottom="1" header="0.5" footer="0.5"/>
  <pageSetup orientation="portrait" horizontalDpi="4294967295" verticalDpi="4294967295" scale="100" fitToWidth="1" fitToHeight="0"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0"/>
  <sheetViews>
    <sheetView workbookViewId="0" showGridLines="0" zoomScale="125" zoomScaleNormal="100">
      <selection activeCell="C36" sqref="C36"/>
    </sheetView>
  </sheetViews>
  <sheetFormatPr defaultRowHeight="15" outlineLevelRow="0" outlineLevelCol="0" x14ac:dyDescent="0.2" defaultColWidth="8.83203125"/>
  <cols>
    <col min="1" max="1" width="16" customWidth="1"/>
    <col min="2" max="5" width="14" customWidth="1"/>
    <col min="6" max="6" width="16" customWidth="1"/>
    <col min="7" max="7" width="4" customWidth="1"/>
    <col min="8" max="8" width="16" customWidth="1"/>
    <col min="9" max="9" width="14" customWidth="1"/>
  </cols>
  <sheetData>
    <row r="1" ht="26" customHeight="1" spans="1:8" x14ac:dyDescent="0.25">
      <c r="A1" s="1" t="s">
        <v>10</v>
      </c>
      <c r="B1"/>
      <c r="C1"/>
      <c r="D1"/>
      <c r="E1"/>
      <c r="F1"/>
      <c r="G1"/>
      <c r="H1"/>
    </row>
    <row r="2" spans="1:8" x14ac:dyDescent="0.25">
      <c r="A2" s="2" t="s">
        <v>11</v>
      </c>
      <c r="B2"/>
      <c r="C2"/>
      <c r="D2"/>
      <c r="E2"/>
      <c r="F2"/>
      <c r="G2"/>
      <c r="H2"/>
    </row>
    <row r="4" ht="16" customHeight="1" spans="1:8" x14ac:dyDescent="0.25">
      <c r="A4" s="5" t="s">
        <v>12</v>
      </c>
      <c r="B4"/>
      <c r="D4" s="5" t="s">
        <v>13</v>
      </c>
      <c r="E4"/>
      <c r="G4" s="5" t="s">
        <v>14</v>
      </c>
      <c r="H4"/>
    </row>
    <row r="5" ht="24" customHeight="1" spans="1:8" x14ac:dyDescent="0.25">
      <c r="A5" s="6">
        <f>COUNTA(Backlog!A2:A500)</f>
        <v>70</v>
      </c>
      <c r="B5"/>
      <c r="D5" s="6">
        <f>COUNTIF(Backlog!F2:F500,"Done")</f>
        <v>11</v>
      </c>
      <c r="E5"/>
      <c r="G5" s="6">
        <f>COUNTIF(Backlog!F2:F500,"In Progress")</f>
        <v>1</v>
      </c>
      <c r="H5"/>
    </row>
    <row r="7" ht="16" customHeight="1" spans="1:8" x14ac:dyDescent="0.25">
      <c r="A7" s="5" t="s">
        <v>15</v>
      </c>
      <c r="B7"/>
      <c r="D7" s="5" t="s">
        <v>16</v>
      </c>
      <c r="E7"/>
      <c r="G7" s="5" t="s">
        <v>17</v>
      </c>
      <c r="H7"/>
    </row>
    <row r="8" ht="24" customHeight="1" spans="1:8" x14ac:dyDescent="0.25">
      <c r="A8" s="6">
        <f>COUNTIF(Backlog!F2:F500,"Blocked")</f>
        <v>0</v>
      </c>
      <c r="B8"/>
      <c r="D8" s="6">
        <f>SUM(Backlog!E2:E500)</f>
        <v>369</v>
      </c>
      <c r="E8"/>
      <c r="G8" s="6">
        <f>SUMIF(Backlog!F2:F500,"Done",Backlog!E2:E500)</f>
        <v>45</v>
      </c>
      <c r="H8"/>
    </row>
    <row r="11" spans="1:9" x14ac:dyDescent="0.25">
      <c r="A11" s="7" t="s">
        <v>18</v>
      </c>
      <c r="B11" s="7" t="s">
        <v>19</v>
      </c>
      <c r="C11" s="7" t="s">
        <v>13</v>
      </c>
      <c r="D11" s="7" t="s">
        <v>15</v>
      </c>
      <c r="E11" s="7" t="s">
        <v>20</v>
      </c>
      <c r="F11" s="7" t="s">
        <v>21</v>
      </c>
      <c r="G11" s="7"/>
      <c r="H11" s="8" t="s">
        <v>22</v>
      </c>
      <c r="I11" s="8" t="s">
        <v>23</v>
      </c>
    </row>
    <row r="12" spans="1:9" x14ac:dyDescent="0.25">
      <c r="A12" t="s">
        <v>24</v>
      </c>
      <c r="B12">
        <f>COUNTIF(Backlog!K:K,A12)</f>
        <v>9</v>
      </c>
      <c r="C12">
        <f>COUNTIFS(Backlog!K:K,A12,Backlog!F:F,"Done")</f>
        <v>8</v>
      </c>
      <c r="D12">
        <f>COUNTIFS(Backlog!K:K,A12,Backlog!F:F,"Blocked")</f>
        <v>0</v>
      </c>
      <c r="E12">
        <f>SUMIF(Backlog!K:K,A12,Backlog!E:E)</f>
        <v>35</v>
      </c>
      <c r="F12" s="9">
        <f t="shared" ref="F12:F20" si="0">IF(B12=0,0,C12/B12)</f>
        <v>0.8888888888888888</v>
      </c>
      <c r="H12" t="s">
        <v>25</v>
      </c>
      <c r="I12">
        <f>COUNTIF(Backlog!F:F,H12)</f>
        <v>61</v>
      </c>
    </row>
    <row r="13" spans="1:9" x14ac:dyDescent="0.25">
      <c r="A13" t="s">
        <v>26</v>
      </c>
      <c r="B13">
        <f>COUNTIF(Backlog!K:K,A13)</f>
        <v>9</v>
      </c>
      <c r="C13">
        <f>COUNTIFS(Backlog!K:K,A13,Backlog!F:F,"Done")</f>
        <v>1</v>
      </c>
      <c r="D13">
        <f>COUNTIFS(Backlog!K:K,A13,Backlog!F:F,"Blocked")</f>
        <v>0</v>
      </c>
      <c r="E13">
        <f>SUMIF(Backlog!K:K,A13,Backlog!E:E)</f>
        <v>47</v>
      </c>
      <c r="F13" s="9">
        <f t="shared" si="0"/>
        <v>0.1111111111111111</v>
      </c>
      <c r="H13" t="s">
        <v>14</v>
      </c>
      <c r="I13">
        <f>COUNTIF(Backlog!F:F,H13)</f>
        <v>1</v>
      </c>
    </row>
    <row r="14" spans="1:9" x14ac:dyDescent="0.25">
      <c r="A14" t="s">
        <v>27</v>
      </c>
      <c r="B14">
        <f>COUNTIF(Backlog!K:K,A14)</f>
        <v>7</v>
      </c>
      <c r="C14">
        <f>COUNTIFS(Backlog!K:K,A14,Backlog!F:F,"Done")</f>
        <v>0</v>
      </c>
      <c r="D14">
        <f>COUNTIFS(Backlog!K:K,A14,Backlog!F:F,"Blocked")</f>
        <v>0</v>
      </c>
      <c r="E14">
        <f>SUMIF(Backlog!K:K,A14,Backlog!E:E)</f>
        <v>31</v>
      </c>
      <c r="F14" s="9">
        <f t="shared" si="0"/>
        <v>0</v>
      </c>
      <c r="H14" t="s">
        <v>15</v>
      </c>
      <c r="I14">
        <f>COUNTIF(Backlog!F:F,H14)</f>
        <v>0</v>
      </c>
    </row>
    <row r="15" spans="1:9" x14ac:dyDescent="0.25">
      <c r="A15" t="s">
        <v>28</v>
      </c>
      <c r="B15">
        <f>COUNTIF(Backlog!K:K,A15)</f>
        <v>10</v>
      </c>
      <c r="C15">
        <f>COUNTIFS(Backlog!K:K,A15,Backlog!F:F,"Done")</f>
        <v>0</v>
      </c>
      <c r="D15">
        <f>COUNTIFS(Backlog!K:K,A15,Backlog!F:F,"Blocked")</f>
        <v>0</v>
      </c>
      <c r="E15">
        <f>SUMIF(Backlog!K:K,A15,Backlog!E:E)</f>
        <v>58</v>
      </c>
      <c r="F15" s="9">
        <f t="shared" si="0"/>
        <v>0</v>
      </c>
      <c r="H15" t="s">
        <v>29</v>
      </c>
      <c r="I15">
        <f>COUNTIF(Backlog!F:F,H15)</f>
        <v>0</v>
      </c>
    </row>
    <row r="16" spans="1:9" x14ac:dyDescent="0.25">
      <c r="A16" t="s">
        <v>30</v>
      </c>
      <c r="B16">
        <f>COUNTIF(Backlog!K:K,A16)</f>
        <v>8</v>
      </c>
      <c r="C16">
        <f>COUNTIFS(Backlog!K:K,A16,Backlog!F:F,"Done")</f>
        <v>0</v>
      </c>
      <c r="D16">
        <f>COUNTIFS(Backlog!K:K,A16,Backlog!F:F,"Blocked")</f>
        <v>0</v>
      </c>
      <c r="E16">
        <f>SUMIF(Backlog!K:K,A16,Backlog!E:E)</f>
        <v>53</v>
      </c>
      <c r="F16" s="9">
        <f t="shared" si="0"/>
        <v>0</v>
      </c>
      <c r="H16" t="s">
        <v>13</v>
      </c>
      <c r="I16">
        <f>COUNTIF(Backlog!F:F,H16)</f>
        <v>11</v>
      </c>
    </row>
    <row r="17" spans="1:6" x14ac:dyDescent="0.25">
      <c r="A17" t="s">
        <v>31</v>
      </c>
      <c r="B17">
        <f>COUNTIF(Backlog!K:K,A17)</f>
        <v>8</v>
      </c>
      <c r="C17">
        <f>COUNTIFS(Backlog!K:K,A17,Backlog!F:F,"Done")</f>
        <v>0</v>
      </c>
      <c r="D17">
        <f>COUNTIFS(Backlog!K:K,A17,Backlog!F:F,"Blocked")</f>
        <v>0</v>
      </c>
      <c r="E17">
        <f>SUMIF(Backlog!K:K,A17,Backlog!E:E)</f>
        <v>34</v>
      </c>
      <c r="F17" s="9">
        <f t="shared" si="0"/>
        <v>0</v>
      </c>
    </row>
    <row r="18" spans="1:6" x14ac:dyDescent="0.25">
      <c r="A18" t="s">
        <v>32</v>
      </c>
      <c r="B18">
        <f>COUNTIF(Backlog!K:K,A18)</f>
        <v>7</v>
      </c>
      <c r="C18">
        <f>COUNTIFS(Backlog!K:K,A18,Backlog!F:F,"Done")</f>
        <v>0</v>
      </c>
      <c r="D18">
        <f>COUNTIFS(Backlog!K:K,A18,Backlog!F:F,"Blocked")</f>
        <v>0</v>
      </c>
      <c r="E18">
        <f>SUMIF(Backlog!K:K,A18,Backlog!E:E)</f>
        <v>47</v>
      </c>
      <c r="F18" s="9">
        <f t="shared" si="0"/>
        <v>0</v>
      </c>
    </row>
    <row r="19" spans="1:6" x14ac:dyDescent="0.25">
      <c r="A19" t="s">
        <v>33</v>
      </c>
      <c r="B19">
        <f>COUNTIF(Backlog!K:K,A19)</f>
        <v>7</v>
      </c>
      <c r="C19">
        <f>COUNTIFS(Backlog!K:K,A19,Backlog!F:F,"Done")</f>
        <v>0</v>
      </c>
      <c r="D19">
        <f>COUNTIFS(Backlog!K:K,A19,Backlog!F:F,"Blocked")</f>
        <v>0</v>
      </c>
      <c r="E19">
        <f>SUMIF(Backlog!K:K,A19,Backlog!E:E)</f>
        <v>27</v>
      </c>
      <c r="F19" s="9">
        <f t="shared" si="0"/>
        <v>0</v>
      </c>
    </row>
    <row r="20" spans="1:6" x14ac:dyDescent="0.25">
      <c r="A20" t="s">
        <v>34</v>
      </c>
      <c r="B20">
        <f>COUNTIF(Backlog!K:K,A20)</f>
        <v>5</v>
      </c>
      <c r="C20">
        <f>COUNTIFS(Backlog!K:K,A20,Backlog!F:F,"Done")</f>
        <v>0</v>
      </c>
      <c r="D20">
        <f>COUNTIFS(Backlog!K:K,A20,Backlog!F:F,"Blocked")</f>
        <v>0</v>
      </c>
      <c r="E20">
        <f>SUMIF(Backlog!K:K,A20,Backlog!E:E)</f>
        <v>26</v>
      </c>
      <c r="F20" s="9">
        <f t="shared" si="0"/>
        <v>0</v>
      </c>
    </row>
  </sheetData>
  <mergeCells count="14">
    <mergeCell ref="A1:H1"/>
    <mergeCell ref="A2:H2"/>
    <mergeCell ref="A4:B4"/>
    <mergeCell ref="D4:E4"/>
    <mergeCell ref="G4:H4"/>
    <mergeCell ref="A5:B5"/>
    <mergeCell ref="D5:E5"/>
    <mergeCell ref="G5:H5"/>
    <mergeCell ref="A7:B7"/>
    <mergeCell ref="D7:E7"/>
    <mergeCell ref="G7:H7"/>
    <mergeCell ref="A8:B8"/>
    <mergeCell ref="D8:E8"/>
    <mergeCell ref="G8:H8"/>
  </mergeCells>
  <pageMargins left="0.75" right="0.75" top="1" bottom="1" header="0.5" footer="0.5"/>
  <pageSetup orientation="portrait" horizontalDpi="4294967295" verticalDpi="4294967295" scale="100" fitToWidth="1" fitToHeight="0"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75"/>
  <sheetViews>
    <sheetView workbookViewId="0" showGridLines="0" zoomScale="100" zoomScaleNormal="100">
      <pane ySplit="1" topLeftCell="A2" activePane="bottomLeft" state="frozen"/>
      <selection pane="bottomLeft" activeCell="F11" sqref="F11"/>
    </sheetView>
  </sheetViews>
  <sheetFormatPr defaultRowHeight="15" outlineLevelRow="0" outlineLevelCol="0" x14ac:dyDescent="0.2" defaultColWidth="8.83203125"/>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ht="16" customHeight="1" spans="1:16" x14ac:dyDescent="0.25">
      <c r="A1" s="10" t="s">
        <v>35</v>
      </c>
      <c r="B1" s="10" t="s">
        <v>36</v>
      </c>
      <c r="C1" s="10" t="s">
        <v>37</v>
      </c>
      <c r="D1" s="10" t="s">
        <v>38</v>
      </c>
      <c r="E1" s="10" t="s">
        <v>39</v>
      </c>
      <c r="F1" s="10" t="s">
        <v>22</v>
      </c>
      <c r="G1" s="10" t="s">
        <v>40</v>
      </c>
      <c r="H1" s="10" t="s">
        <v>41</v>
      </c>
      <c r="I1" s="10" t="s">
        <v>42</v>
      </c>
      <c r="J1" s="10" t="s">
        <v>43</v>
      </c>
      <c r="K1" s="10" t="s">
        <v>18</v>
      </c>
      <c r="L1" s="10" t="s">
        <v>44</v>
      </c>
      <c r="M1" s="10" t="s">
        <v>45</v>
      </c>
      <c r="N1" s="10" t="s">
        <v>46</v>
      </c>
      <c r="O1" s="10" t="s">
        <v>47</v>
      </c>
      <c r="P1" s="10" t="s">
        <v>48</v>
      </c>
    </row>
    <row r="2" ht="32" customHeight="1" spans="1:16" s="11" customFormat="1" x14ac:dyDescent="0.25">
      <c r="A2" s="12" t="s">
        <v>49</v>
      </c>
      <c r="B2" s="12" t="s">
        <v>50</v>
      </c>
      <c r="C2" s="12" t="s">
        <v>51</v>
      </c>
      <c r="D2" s="12" t="s">
        <v>52</v>
      </c>
      <c r="E2" s="12">
        <v>3</v>
      </c>
      <c r="F2" s="12" t="s">
        <v>13</v>
      </c>
      <c r="G2" s="12" t="s">
        <v>53</v>
      </c>
      <c r="H2" s="12" t="s">
        <v>54</v>
      </c>
      <c r="I2" s="12" t="s">
        <v>55</v>
      </c>
      <c r="J2" s="13">
        <v>46153</v>
      </c>
      <c r="K2" s="12" t="s">
        <v>24</v>
      </c>
      <c r="L2" s="12">
        <v>1</v>
      </c>
      <c r="M2" s="13">
        <v>46153</v>
      </c>
      <c r="N2" s="12"/>
      <c r="O2" s="12" t="s">
        <v>56</v>
      </c>
      <c r="P2" s="12"/>
    </row>
    <row r="3" ht="112" customHeight="1" spans="1:16" s="11" customFormat="1" x14ac:dyDescent="0.25">
      <c r="A3" s="12" t="s">
        <v>57</v>
      </c>
      <c r="B3" s="12" t="s">
        <v>50</v>
      </c>
      <c r="C3" s="12" t="s">
        <v>58</v>
      </c>
      <c r="D3" s="12" t="s">
        <v>52</v>
      </c>
      <c r="E3" s="12">
        <v>5</v>
      </c>
      <c r="F3" s="12" t="s">
        <v>13</v>
      </c>
      <c r="G3" s="12" t="s">
        <v>59</v>
      </c>
      <c r="H3" s="12" t="s">
        <v>60</v>
      </c>
      <c r="I3" s="12" t="s">
        <v>61</v>
      </c>
      <c r="J3" s="13">
        <v>46153</v>
      </c>
      <c r="K3" s="12" t="s">
        <v>24</v>
      </c>
      <c r="L3" s="12">
        <v>2</v>
      </c>
      <c r="M3" s="13">
        <v>46154</v>
      </c>
      <c r="N3" s="12" t="s">
        <v>49</v>
      </c>
      <c r="O3" s="12" t="s">
        <v>62</v>
      </c>
      <c r="P3" s="12"/>
    </row>
    <row r="4" ht="32" customHeight="1" spans="1:16" s="11" customFormat="1" x14ac:dyDescent="0.25">
      <c r="A4" s="12" t="s">
        <v>63</v>
      </c>
      <c r="B4" s="12" t="s">
        <v>50</v>
      </c>
      <c r="C4" s="12" t="s">
        <v>64</v>
      </c>
      <c r="D4" s="12" t="s">
        <v>52</v>
      </c>
      <c r="E4" s="12">
        <v>5</v>
      </c>
      <c r="F4" s="12" t="s">
        <v>13</v>
      </c>
      <c r="G4" s="12" t="s">
        <v>65</v>
      </c>
      <c r="H4" s="12" t="s">
        <v>66</v>
      </c>
      <c r="I4" s="12" t="s">
        <v>67</v>
      </c>
      <c r="J4" s="13">
        <v>46153</v>
      </c>
      <c r="K4" s="12" t="s">
        <v>24</v>
      </c>
      <c r="L4" s="12">
        <v>2</v>
      </c>
      <c r="M4" s="13">
        <v>46154</v>
      </c>
      <c r="N4" s="12" t="s">
        <v>49</v>
      </c>
      <c r="O4" s="12" t="s">
        <v>68</v>
      </c>
      <c r="P4" s="12"/>
    </row>
    <row r="5" ht="32" customHeight="1" spans="1:16" x14ac:dyDescent="0.25">
      <c r="A5" s="14" t="s">
        <v>69</v>
      </c>
      <c r="B5" s="14" t="s">
        <v>50</v>
      </c>
      <c r="C5" s="14" t="s">
        <v>70</v>
      </c>
      <c r="D5" s="14" t="s">
        <v>71</v>
      </c>
      <c r="E5" s="14">
        <v>3</v>
      </c>
      <c r="F5" s="14" t="s">
        <v>13</v>
      </c>
      <c r="G5" s="14" t="s">
        <v>72</v>
      </c>
      <c r="H5" s="14" t="s">
        <v>73</v>
      </c>
      <c r="I5" s="14" t="s">
        <v>55</v>
      </c>
      <c r="J5" s="15">
        <v>46154</v>
      </c>
      <c r="K5" s="14" t="s">
        <v>24</v>
      </c>
      <c r="L5" s="14">
        <v>1</v>
      </c>
      <c r="M5" s="15">
        <v>46154</v>
      </c>
      <c r="N5" s="14" t="s">
        <v>74</v>
      </c>
      <c r="O5" s="14" t="s">
        <v>75</v>
      </c>
      <c r="P5" s="14"/>
    </row>
    <row r="6" ht="16" customHeight="1" spans="1:16" x14ac:dyDescent="0.25">
      <c r="A6" s="14" t="s">
        <v>76</v>
      </c>
      <c r="B6" s="14" t="s">
        <v>50</v>
      </c>
      <c r="C6" s="14" t="s">
        <v>77</v>
      </c>
      <c r="D6" s="14" t="s">
        <v>71</v>
      </c>
      <c r="E6" s="14">
        <v>3</v>
      </c>
      <c r="F6" s="14" t="s">
        <v>25</v>
      </c>
      <c r="G6" s="14" t="s">
        <v>78</v>
      </c>
      <c r="H6" s="14" t="s">
        <v>79</v>
      </c>
      <c r="I6" s="14" t="s">
        <v>55</v>
      </c>
      <c r="J6" s="15">
        <v>46154</v>
      </c>
      <c r="K6" s="14" t="s">
        <v>24</v>
      </c>
      <c r="L6" s="14">
        <v>1</v>
      </c>
      <c r="M6" s="15">
        <v>46154</v>
      </c>
      <c r="N6" s="14" t="s">
        <v>74</v>
      </c>
      <c r="O6" s="14" t="s">
        <v>80</v>
      </c>
      <c r="P6" s="14"/>
    </row>
    <row r="7" ht="32" customHeight="1" spans="1:16" x14ac:dyDescent="0.25">
      <c r="A7" s="14" t="s">
        <v>81</v>
      </c>
      <c r="B7" s="14" t="s">
        <v>82</v>
      </c>
      <c r="C7" s="14" t="s">
        <v>83</v>
      </c>
      <c r="D7" s="14" t="s">
        <v>52</v>
      </c>
      <c r="E7" s="14">
        <v>3</v>
      </c>
      <c r="F7" s="14" t="s">
        <v>13</v>
      </c>
      <c r="G7" s="14" t="s">
        <v>84</v>
      </c>
      <c r="H7" s="14" t="s">
        <v>85</v>
      </c>
      <c r="I7" s="14" t="s">
        <v>86</v>
      </c>
      <c r="J7" s="15">
        <v>46155</v>
      </c>
      <c r="K7" s="14" t="s">
        <v>24</v>
      </c>
      <c r="L7" s="14">
        <v>1</v>
      </c>
      <c r="M7" s="15">
        <v>46155</v>
      </c>
      <c r="N7" s="14" t="s">
        <v>69</v>
      </c>
      <c r="O7" s="14" t="s">
        <v>87</v>
      </c>
      <c r="P7" s="14"/>
    </row>
    <row r="8" ht="32" customHeight="1" spans="1:16" x14ac:dyDescent="0.25">
      <c r="A8" s="14" t="s">
        <v>88</v>
      </c>
      <c r="B8" s="14" t="s">
        <v>82</v>
      </c>
      <c r="C8" s="14" t="s">
        <v>89</v>
      </c>
      <c r="D8" s="14" t="s">
        <v>71</v>
      </c>
      <c r="E8" s="14">
        <v>5</v>
      </c>
      <c r="F8" s="14" t="s">
        <v>13</v>
      </c>
      <c r="G8" s="14" t="s">
        <v>90</v>
      </c>
      <c r="H8" s="14" t="s">
        <v>91</v>
      </c>
      <c r="I8" s="14" t="s">
        <v>86</v>
      </c>
      <c r="J8" s="15">
        <v>46155</v>
      </c>
      <c r="K8" s="14" t="s">
        <v>24</v>
      </c>
      <c r="L8" s="14">
        <v>2</v>
      </c>
      <c r="M8" s="15">
        <v>46156</v>
      </c>
      <c r="N8" s="14" t="s">
        <v>81</v>
      </c>
      <c r="O8" s="14" t="s">
        <v>92</v>
      </c>
      <c r="P8" s="14"/>
    </row>
    <row r="9" ht="16" customHeight="1" spans="1:16" x14ac:dyDescent="0.25">
      <c r="A9" s="14" t="s">
        <v>93</v>
      </c>
      <c r="B9" s="14" t="s">
        <v>94</v>
      </c>
      <c r="C9" s="14" t="s">
        <v>95</v>
      </c>
      <c r="D9" s="14" t="s">
        <v>71</v>
      </c>
      <c r="E9" s="14">
        <v>3</v>
      </c>
      <c r="F9" s="14" t="s">
        <v>13</v>
      </c>
      <c r="G9" s="14" t="s">
        <v>96</v>
      </c>
      <c r="H9" s="14" t="s">
        <v>97</v>
      </c>
      <c r="I9" s="14" t="s">
        <v>67</v>
      </c>
      <c r="J9" s="15">
        <v>46156</v>
      </c>
      <c r="K9" s="14" t="s">
        <v>24</v>
      </c>
      <c r="L9" s="14">
        <v>1</v>
      </c>
      <c r="M9" s="15">
        <v>46156</v>
      </c>
      <c r="N9" s="14" t="s">
        <v>63</v>
      </c>
      <c r="O9" s="14" t="s">
        <v>98</v>
      </c>
      <c r="P9" s="14"/>
    </row>
    <row r="10" ht="32" customHeight="1" spans="1:16" x14ac:dyDescent="0.25">
      <c r="A10" s="14" t="s">
        <v>99</v>
      </c>
      <c r="B10" s="14" t="s">
        <v>94</v>
      </c>
      <c r="C10" s="14" t="s">
        <v>100</v>
      </c>
      <c r="D10" s="14" t="s">
        <v>71</v>
      </c>
      <c r="E10" s="14">
        <v>5</v>
      </c>
      <c r="F10" s="14" t="s">
        <v>13</v>
      </c>
      <c r="G10" s="14" t="s">
        <v>101</v>
      </c>
      <c r="H10" s="14" t="s">
        <v>102</v>
      </c>
      <c r="I10" s="14" t="s">
        <v>61</v>
      </c>
      <c r="J10" s="15">
        <v>46156</v>
      </c>
      <c r="K10" s="14" t="s">
        <v>24</v>
      </c>
      <c r="L10" s="14">
        <v>2</v>
      </c>
      <c r="M10" s="15">
        <v>46157</v>
      </c>
      <c r="N10" s="14" t="s">
        <v>57</v>
      </c>
      <c r="O10" s="14" t="s">
        <v>103</v>
      </c>
      <c r="P10" s="14"/>
    </row>
    <row r="11" ht="32" customHeight="1" spans="1:16" x14ac:dyDescent="0.25">
      <c r="A11" s="14" t="s">
        <v>104</v>
      </c>
      <c r="B11" s="14" t="s">
        <v>105</v>
      </c>
      <c r="C11" s="14" t="s">
        <v>106</v>
      </c>
      <c r="D11" s="14" t="s">
        <v>52</v>
      </c>
      <c r="E11" s="14">
        <v>5</v>
      </c>
      <c r="F11" s="14" t="s">
        <v>13</v>
      </c>
      <c r="G11" s="14" t="s">
        <v>107</v>
      </c>
      <c r="H11" s="14" t="s">
        <v>108</v>
      </c>
      <c r="I11" s="14" t="s">
        <v>86</v>
      </c>
      <c r="J11" s="15">
        <v>46158</v>
      </c>
      <c r="K11" s="14" t="s">
        <v>26</v>
      </c>
      <c r="L11" s="14">
        <v>1</v>
      </c>
      <c r="M11" s="15">
        <v>46158</v>
      </c>
      <c r="N11" s="14" t="s">
        <v>88</v>
      </c>
      <c r="O11" s="14" t="s">
        <v>109</v>
      </c>
      <c r="P11" s="14"/>
    </row>
    <row r="12" ht="16" customHeight="1" spans="1:16" x14ac:dyDescent="0.25">
      <c r="A12" s="14" t="s">
        <v>110</v>
      </c>
      <c r="B12" s="14" t="s">
        <v>105</v>
      </c>
      <c r="C12" s="14" t="s">
        <v>111</v>
      </c>
      <c r="D12" s="14" t="s">
        <v>52</v>
      </c>
      <c r="E12" s="14">
        <v>5</v>
      </c>
      <c r="F12" s="14" t="s">
        <v>13</v>
      </c>
      <c r="G12" s="14" t="s">
        <v>112</v>
      </c>
      <c r="H12" s="14" t="s">
        <v>113</v>
      </c>
      <c r="I12" s="14" t="s">
        <v>86</v>
      </c>
      <c r="J12" s="15">
        <v>46158</v>
      </c>
      <c r="K12" s="14" t="s">
        <v>26</v>
      </c>
      <c r="L12" s="14">
        <v>1</v>
      </c>
      <c r="M12" s="15">
        <v>46158</v>
      </c>
      <c r="N12" s="14" t="s">
        <v>104</v>
      </c>
      <c r="O12" s="14" t="s">
        <v>114</v>
      </c>
      <c r="P12" s="14"/>
    </row>
    <row r="13" ht="16" customHeight="1" spans="1:16" x14ac:dyDescent="0.25">
      <c r="A13" s="14" t="s">
        <v>115</v>
      </c>
      <c r="B13" s="14" t="s">
        <v>105</v>
      </c>
      <c r="C13" s="14" t="s">
        <v>116</v>
      </c>
      <c r="D13" s="14" t="s">
        <v>71</v>
      </c>
      <c r="E13" s="14">
        <v>3</v>
      </c>
      <c r="F13" s="14" t="s">
        <v>25</v>
      </c>
      <c r="G13" s="14" t="s">
        <v>117</v>
      </c>
      <c r="H13" s="14" t="s">
        <v>118</v>
      </c>
      <c r="I13" s="14" t="s">
        <v>86</v>
      </c>
      <c r="J13" s="15">
        <v>46159</v>
      </c>
      <c r="K13" s="14" t="s">
        <v>26</v>
      </c>
      <c r="L13" s="14">
        <v>1</v>
      </c>
      <c r="M13" s="15">
        <v>46159</v>
      </c>
      <c r="N13" s="14" t="s">
        <v>104</v>
      </c>
      <c r="O13" s="14" t="s">
        <v>119</v>
      </c>
      <c r="P13" s="14"/>
    </row>
    <row r="14" ht="32" customHeight="1" spans="1:16" x14ac:dyDescent="0.25">
      <c r="A14" s="14" t="s">
        <v>120</v>
      </c>
      <c r="B14" s="14" t="s">
        <v>105</v>
      </c>
      <c r="C14" s="14" t="s">
        <v>121</v>
      </c>
      <c r="D14" s="14" t="s">
        <v>71</v>
      </c>
      <c r="E14" s="14">
        <v>3</v>
      </c>
      <c r="F14" s="14" t="s">
        <v>25</v>
      </c>
      <c r="G14" s="14" t="s">
        <v>122</v>
      </c>
      <c r="H14" s="14" t="s">
        <v>123</v>
      </c>
      <c r="I14" s="14" t="s">
        <v>86</v>
      </c>
      <c r="J14" s="15">
        <v>46159</v>
      </c>
      <c r="K14" s="14" t="s">
        <v>26</v>
      </c>
      <c r="L14" s="14">
        <v>1</v>
      </c>
      <c r="M14" s="15">
        <v>46159</v>
      </c>
      <c r="N14" s="14" t="s">
        <v>110</v>
      </c>
      <c r="O14" s="14" t="s">
        <v>124</v>
      </c>
      <c r="P14" s="14"/>
    </row>
    <row r="15" ht="32" customHeight="1" spans="1:16" x14ac:dyDescent="0.25">
      <c r="A15" s="14" t="s">
        <v>125</v>
      </c>
      <c r="B15" s="14" t="s">
        <v>126</v>
      </c>
      <c r="C15" s="14" t="s">
        <v>127</v>
      </c>
      <c r="D15" s="14" t="s">
        <v>52</v>
      </c>
      <c r="E15" s="14">
        <v>8</v>
      </c>
      <c r="F15" s="14" t="s">
        <v>25</v>
      </c>
      <c r="G15" s="14" t="s">
        <v>128</v>
      </c>
      <c r="H15" s="14" t="s">
        <v>129</v>
      </c>
      <c r="I15" s="14" t="s">
        <v>130</v>
      </c>
      <c r="J15" s="15">
        <v>46160</v>
      </c>
      <c r="K15" s="14" t="s">
        <v>26</v>
      </c>
      <c r="L15" s="14">
        <v>2</v>
      </c>
      <c r="M15" s="15">
        <v>46161</v>
      </c>
      <c r="N15" s="14" t="s">
        <v>131</v>
      </c>
      <c r="O15" s="14" t="s">
        <v>132</v>
      </c>
      <c r="P15" s="14"/>
    </row>
    <row r="16" ht="16" customHeight="1" spans="1:16" x14ac:dyDescent="0.25">
      <c r="A16" s="14" t="s">
        <v>133</v>
      </c>
      <c r="B16" s="14" t="s">
        <v>94</v>
      </c>
      <c r="C16" s="14" t="s">
        <v>134</v>
      </c>
      <c r="D16" s="14" t="s">
        <v>52</v>
      </c>
      <c r="E16" s="14">
        <v>8</v>
      </c>
      <c r="F16" s="14" t="s">
        <v>13</v>
      </c>
      <c r="G16" s="14" t="s">
        <v>135</v>
      </c>
      <c r="H16" s="14" t="s">
        <v>136</v>
      </c>
      <c r="I16" s="14" t="s">
        <v>67</v>
      </c>
      <c r="J16" s="15">
        <v>46160</v>
      </c>
      <c r="K16" s="14" t="s">
        <v>26</v>
      </c>
      <c r="L16" s="14">
        <v>2</v>
      </c>
      <c r="M16" s="15">
        <v>46161</v>
      </c>
      <c r="N16" s="14" t="s">
        <v>137</v>
      </c>
      <c r="O16" s="14" t="s">
        <v>138</v>
      </c>
      <c r="P16" s="14"/>
    </row>
    <row r="17" ht="32" customHeight="1" spans="1:16" x14ac:dyDescent="0.25">
      <c r="A17" s="14" t="s">
        <v>139</v>
      </c>
      <c r="B17" s="14" t="s">
        <v>94</v>
      </c>
      <c r="C17" s="14" t="s">
        <v>140</v>
      </c>
      <c r="D17" s="14" t="s">
        <v>52</v>
      </c>
      <c r="E17" s="14">
        <v>5</v>
      </c>
      <c r="F17" s="14" t="s">
        <v>13</v>
      </c>
      <c r="G17" s="14" t="s">
        <v>141</v>
      </c>
      <c r="H17" s="14" t="s">
        <v>142</v>
      </c>
      <c r="I17" s="14" t="s">
        <v>67</v>
      </c>
      <c r="J17" s="15">
        <v>46161</v>
      </c>
      <c r="K17" s="14" t="s">
        <v>26</v>
      </c>
      <c r="L17" s="14">
        <v>2</v>
      </c>
      <c r="M17" s="15">
        <v>46162</v>
      </c>
      <c r="N17" s="14" t="s">
        <v>143</v>
      </c>
      <c r="O17" s="14" t="s">
        <v>144</v>
      </c>
      <c r="P17" s="14"/>
    </row>
    <row r="18" ht="32" customHeight="1" spans="1:16" x14ac:dyDescent="0.25">
      <c r="A18" s="14" t="s">
        <v>145</v>
      </c>
      <c r="B18" s="14" t="s">
        <v>146</v>
      </c>
      <c r="C18" s="14" t="s">
        <v>147</v>
      </c>
      <c r="D18" s="14" t="s">
        <v>71</v>
      </c>
      <c r="E18" s="14">
        <v>5</v>
      </c>
      <c r="F18" s="14" t="s">
        <v>13</v>
      </c>
      <c r="G18" s="14" t="s">
        <v>148</v>
      </c>
      <c r="H18" s="14" t="s">
        <v>149</v>
      </c>
      <c r="I18" s="14" t="s">
        <v>61</v>
      </c>
      <c r="J18" s="15">
        <v>46162</v>
      </c>
      <c r="K18" s="14" t="s">
        <v>26</v>
      </c>
      <c r="L18" s="14">
        <v>2</v>
      </c>
      <c r="M18" s="15">
        <v>46163</v>
      </c>
      <c r="N18" s="14" t="s">
        <v>150</v>
      </c>
      <c r="O18" s="14" t="s">
        <v>151</v>
      </c>
      <c r="P18" s="14"/>
    </row>
    <row r="19" ht="16" customHeight="1" spans="1:16" x14ac:dyDescent="0.25">
      <c r="A19" s="14" t="s">
        <v>152</v>
      </c>
      <c r="B19" s="14" t="s">
        <v>153</v>
      </c>
      <c r="C19" s="14" t="s">
        <v>154</v>
      </c>
      <c r="D19" s="14" t="s">
        <v>52</v>
      </c>
      <c r="E19" s="14">
        <v>5</v>
      </c>
      <c r="F19" s="14" t="s">
        <v>13</v>
      </c>
      <c r="G19" s="14" t="s">
        <v>155</v>
      </c>
      <c r="H19" s="14" t="s">
        <v>156</v>
      </c>
      <c r="I19" s="14" t="s">
        <v>67</v>
      </c>
      <c r="J19" s="15">
        <v>46162</v>
      </c>
      <c r="K19" s="14" t="s">
        <v>26</v>
      </c>
      <c r="L19" s="14">
        <v>2</v>
      </c>
      <c r="M19" s="15">
        <v>46163</v>
      </c>
      <c r="N19" s="14" t="s">
        <v>139</v>
      </c>
      <c r="O19" s="14" t="s">
        <v>157</v>
      </c>
      <c r="P19" s="14"/>
    </row>
    <row r="20" ht="16" customHeight="1" spans="1:16" x14ac:dyDescent="0.25">
      <c r="A20" s="14" t="s">
        <v>158</v>
      </c>
      <c r="B20" s="14" t="s">
        <v>159</v>
      </c>
      <c r="C20" s="14" t="s">
        <v>160</v>
      </c>
      <c r="D20" s="14" t="s">
        <v>71</v>
      </c>
      <c r="E20" s="14">
        <v>3</v>
      </c>
      <c r="F20" s="14" t="s">
        <v>25</v>
      </c>
      <c r="G20" s="14" t="s">
        <v>161</v>
      </c>
      <c r="H20" s="14" t="s">
        <v>162</v>
      </c>
      <c r="I20" s="14" t="s">
        <v>86</v>
      </c>
      <c r="J20" s="15">
        <v>46164</v>
      </c>
      <c r="K20" s="14" t="s">
        <v>27</v>
      </c>
      <c r="L20" s="14">
        <v>1</v>
      </c>
      <c r="M20" s="15">
        <v>46164</v>
      </c>
      <c r="N20" s="14" t="s">
        <v>125</v>
      </c>
      <c r="O20" s="14" t="s">
        <v>163</v>
      </c>
      <c r="P20" s="14"/>
    </row>
    <row r="21" ht="32" customHeight="1" spans="1:16" x14ac:dyDescent="0.25">
      <c r="A21" s="14" t="s">
        <v>164</v>
      </c>
      <c r="B21" s="14" t="s">
        <v>159</v>
      </c>
      <c r="C21" s="14" t="s">
        <v>165</v>
      </c>
      <c r="D21" s="14" t="s">
        <v>71</v>
      </c>
      <c r="E21" s="14">
        <v>5</v>
      </c>
      <c r="F21" s="14" t="s">
        <v>25</v>
      </c>
      <c r="G21" s="14" t="s">
        <v>166</v>
      </c>
      <c r="H21" s="14" t="s">
        <v>167</v>
      </c>
      <c r="I21" s="14" t="s">
        <v>67</v>
      </c>
      <c r="J21" s="15">
        <v>46164</v>
      </c>
      <c r="K21" s="14" t="s">
        <v>27</v>
      </c>
      <c r="L21" s="14">
        <v>2</v>
      </c>
      <c r="M21" s="15">
        <v>46165</v>
      </c>
      <c r="N21" s="14" t="s">
        <v>168</v>
      </c>
      <c r="O21" s="14" t="s">
        <v>169</v>
      </c>
      <c r="P21" s="14"/>
    </row>
    <row r="22" ht="16" customHeight="1" spans="1:16" x14ac:dyDescent="0.25">
      <c r="A22" s="14" t="s">
        <v>170</v>
      </c>
      <c r="B22" s="14" t="s">
        <v>159</v>
      </c>
      <c r="C22" s="14" t="s">
        <v>171</v>
      </c>
      <c r="D22" s="14" t="s">
        <v>71</v>
      </c>
      <c r="E22" s="14">
        <v>5</v>
      </c>
      <c r="F22" s="14" t="s">
        <v>25</v>
      </c>
      <c r="G22" s="14" t="s">
        <v>172</v>
      </c>
      <c r="H22" s="14" t="s">
        <v>173</v>
      </c>
      <c r="I22" s="14" t="s">
        <v>67</v>
      </c>
      <c r="J22" s="15">
        <v>46165</v>
      </c>
      <c r="K22" s="14" t="s">
        <v>27</v>
      </c>
      <c r="L22" s="14">
        <v>2</v>
      </c>
      <c r="M22" s="15">
        <v>46166</v>
      </c>
      <c r="N22" s="14" t="s">
        <v>164</v>
      </c>
      <c r="O22" s="14" t="s">
        <v>174</v>
      </c>
      <c r="P22" s="14"/>
    </row>
    <row r="23" ht="16" customHeight="1" spans="1:16" x14ac:dyDescent="0.25">
      <c r="A23" s="14" t="s">
        <v>175</v>
      </c>
      <c r="B23" s="14" t="s">
        <v>176</v>
      </c>
      <c r="C23" s="14" t="s">
        <v>177</v>
      </c>
      <c r="D23" s="14" t="s">
        <v>71</v>
      </c>
      <c r="E23" s="14">
        <v>3</v>
      </c>
      <c r="F23" s="14" t="s">
        <v>25</v>
      </c>
      <c r="G23" s="14" t="s">
        <v>178</v>
      </c>
      <c r="H23" s="14" t="s">
        <v>179</v>
      </c>
      <c r="I23" s="14" t="s">
        <v>67</v>
      </c>
      <c r="J23" s="15">
        <v>46166</v>
      </c>
      <c r="K23" s="14" t="s">
        <v>27</v>
      </c>
      <c r="L23" s="14">
        <v>1</v>
      </c>
      <c r="M23" s="15">
        <v>46166</v>
      </c>
      <c r="N23" s="14" t="s">
        <v>180</v>
      </c>
      <c r="O23" s="14" t="s">
        <v>181</v>
      </c>
      <c r="P23" s="14"/>
    </row>
    <row r="24" ht="32" customHeight="1" spans="1:16" x14ac:dyDescent="0.25">
      <c r="A24" s="14" t="s">
        <v>182</v>
      </c>
      <c r="B24" s="14" t="s">
        <v>176</v>
      </c>
      <c r="C24" s="14" t="s">
        <v>183</v>
      </c>
      <c r="D24" s="14" t="s">
        <v>184</v>
      </c>
      <c r="E24" s="14">
        <v>5</v>
      </c>
      <c r="F24" s="14" t="s">
        <v>25</v>
      </c>
      <c r="G24" s="14" t="s">
        <v>185</v>
      </c>
      <c r="H24" s="14" t="s">
        <v>186</v>
      </c>
      <c r="I24" s="14" t="s">
        <v>61</v>
      </c>
      <c r="J24" s="15">
        <v>46167</v>
      </c>
      <c r="K24" s="14" t="s">
        <v>27</v>
      </c>
      <c r="L24" s="14">
        <v>2</v>
      </c>
      <c r="M24" s="15">
        <v>46168</v>
      </c>
      <c r="N24" s="14" t="s">
        <v>187</v>
      </c>
      <c r="O24" s="14" t="s">
        <v>188</v>
      </c>
      <c r="P24" s="14"/>
    </row>
    <row r="25" ht="32" customHeight="1" spans="1:16" x14ac:dyDescent="0.25">
      <c r="A25" s="14" t="s">
        <v>189</v>
      </c>
      <c r="B25" s="14" t="s">
        <v>190</v>
      </c>
      <c r="C25" s="14" t="s">
        <v>191</v>
      </c>
      <c r="D25" s="14" t="s">
        <v>71</v>
      </c>
      <c r="E25" s="14">
        <v>5</v>
      </c>
      <c r="F25" s="14" t="s">
        <v>25</v>
      </c>
      <c r="G25" s="14" t="s">
        <v>192</v>
      </c>
      <c r="H25" s="14" t="s">
        <v>193</v>
      </c>
      <c r="I25" s="14" t="s">
        <v>61</v>
      </c>
      <c r="J25" s="15">
        <v>46166</v>
      </c>
      <c r="K25" s="14" t="s">
        <v>27</v>
      </c>
      <c r="L25" s="14">
        <v>2</v>
      </c>
      <c r="M25" s="15">
        <v>46167</v>
      </c>
      <c r="N25" s="14" t="s">
        <v>145</v>
      </c>
      <c r="O25" s="14" t="s">
        <v>194</v>
      </c>
      <c r="P25" s="14"/>
    </row>
    <row r="26" ht="32" customHeight="1" spans="1:16" x14ac:dyDescent="0.25">
      <c r="A26" s="14" t="s">
        <v>195</v>
      </c>
      <c r="B26" s="14" t="s">
        <v>196</v>
      </c>
      <c r="C26" s="14" t="s">
        <v>197</v>
      </c>
      <c r="D26" s="14" t="s">
        <v>184</v>
      </c>
      <c r="E26" s="14">
        <v>5</v>
      </c>
      <c r="F26" s="14" t="s">
        <v>25</v>
      </c>
      <c r="G26" s="14" t="s">
        <v>198</v>
      </c>
      <c r="H26" s="14" t="s">
        <v>199</v>
      </c>
      <c r="I26" s="14" t="s">
        <v>200</v>
      </c>
      <c r="J26" s="15">
        <v>46168</v>
      </c>
      <c r="K26" s="14" t="s">
        <v>27</v>
      </c>
      <c r="L26" s="14">
        <v>2</v>
      </c>
      <c r="M26" s="15">
        <v>46169</v>
      </c>
      <c r="N26" s="14" t="s">
        <v>201</v>
      </c>
      <c r="O26" s="14" t="s">
        <v>202</v>
      </c>
      <c r="P26" s="14"/>
    </row>
    <row r="27" ht="32" customHeight="1" spans="1:16" x14ac:dyDescent="0.25">
      <c r="A27" s="14" t="s">
        <v>203</v>
      </c>
      <c r="B27" s="14" t="s">
        <v>204</v>
      </c>
      <c r="C27" s="14" t="s">
        <v>205</v>
      </c>
      <c r="D27" s="14" t="s">
        <v>52</v>
      </c>
      <c r="E27" s="14">
        <v>5</v>
      </c>
      <c r="F27" s="14" t="s">
        <v>25</v>
      </c>
      <c r="G27" s="14" t="s">
        <v>206</v>
      </c>
      <c r="H27" s="14" t="s">
        <v>207</v>
      </c>
      <c r="I27" s="14" t="s">
        <v>86</v>
      </c>
      <c r="J27" s="15">
        <v>46170</v>
      </c>
      <c r="K27" s="14" t="s">
        <v>28</v>
      </c>
      <c r="L27" s="14">
        <v>1</v>
      </c>
      <c r="M27" s="15">
        <v>46170</v>
      </c>
      <c r="N27" s="14" t="s">
        <v>125</v>
      </c>
      <c r="O27" s="14" t="s">
        <v>208</v>
      </c>
      <c r="P27" s="14"/>
    </row>
    <row r="28" ht="32" customHeight="1" spans="1:16" x14ac:dyDescent="0.25">
      <c r="A28" s="14" t="s">
        <v>209</v>
      </c>
      <c r="B28" s="14" t="s">
        <v>204</v>
      </c>
      <c r="C28" s="14" t="s">
        <v>210</v>
      </c>
      <c r="D28" s="14" t="s">
        <v>71</v>
      </c>
      <c r="E28" s="14">
        <v>3</v>
      </c>
      <c r="F28" s="14" t="s">
        <v>25</v>
      </c>
      <c r="G28" s="14" t="s">
        <v>211</v>
      </c>
      <c r="H28" s="14" t="s">
        <v>212</v>
      </c>
      <c r="I28" s="14" t="s">
        <v>86</v>
      </c>
      <c r="J28" s="15">
        <v>46170</v>
      </c>
      <c r="K28" s="14" t="s">
        <v>28</v>
      </c>
      <c r="L28" s="14">
        <v>1</v>
      </c>
      <c r="M28" s="15">
        <v>46170</v>
      </c>
      <c r="N28" s="14" t="s">
        <v>203</v>
      </c>
      <c r="O28" s="14" t="s">
        <v>213</v>
      </c>
      <c r="P28" s="14"/>
    </row>
    <row r="29" ht="32" customHeight="1" spans="1:16" x14ac:dyDescent="0.25">
      <c r="A29" s="14" t="s">
        <v>214</v>
      </c>
      <c r="B29" s="14" t="s">
        <v>215</v>
      </c>
      <c r="C29" s="14" t="s">
        <v>216</v>
      </c>
      <c r="D29" s="14" t="s">
        <v>71</v>
      </c>
      <c r="E29" s="14">
        <v>3</v>
      </c>
      <c r="F29" s="14" t="s">
        <v>25</v>
      </c>
      <c r="G29" s="14" t="s">
        <v>217</v>
      </c>
      <c r="H29" s="14" t="s">
        <v>218</v>
      </c>
      <c r="I29" s="14" t="s">
        <v>67</v>
      </c>
      <c r="J29" s="15">
        <v>46171</v>
      </c>
      <c r="K29" s="14" t="s">
        <v>28</v>
      </c>
      <c r="L29" s="14">
        <v>1</v>
      </c>
      <c r="M29" s="15">
        <v>46171</v>
      </c>
      <c r="N29" s="14" t="s">
        <v>203</v>
      </c>
      <c r="O29" s="14" t="s">
        <v>219</v>
      </c>
      <c r="P29" s="14"/>
    </row>
    <row r="30" ht="32" customHeight="1" spans="1:16" x14ac:dyDescent="0.25">
      <c r="A30" s="14" t="s">
        <v>220</v>
      </c>
      <c r="B30" s="14" t="s">
        <v>215</v>
      </c>
      <c r="C30" s="14" t="s">
        <v>221</v>
      </c>
      <c r="D30" s="14" t="s">
        <v>52</v>
      </c>
      <c r="E30" s="14">
        <v>8</v>
      </c>
      <c r="F30" s="14" t="s">
        <v>25</v>
      </c>
      <c r="G30" s="14" t="s">
        <v>222</v>
      </c>
      <c r="H30" s="14" t="s">
        <v>223</v>
      </c>
      <c r="I30" s="14" t="s">
        <v>67</v>
      </c>
      <c r="J30" s="15">
        <v>46171</v>
      </c>
      <c r="K30" s="14" t="s">
        <v>28</v>
      </c>
      <c r="L30" s="14">
        <v>2</v>
      </c>
      <c r="M30" s="15">
        <v>46172</v>
      </c>
      <c r="N30" s="14" t="s">
        <v>224</v>
      </c>
      <c r="O30" s="14" t="s">
        <v>225</v>
      </c>
      <c r="P30" s="14"/>
    </row>
    <row r="31" ht="32" customHeight="1" spans="1:16" x14ac:dyDescent="0.25">
      <c r="A31" s="14" t="s">
        <v>226</v>
      </c>
      <c r="B31" s="14" t="s">
        <v>215</v>
      </c>
      <c r="C31" s="14" t="s">
        <v>227</v>
      </c>
      <c r="D31" s="14" t="s">
        <v>52</v>
      </c>
      <c r="E31" s="14">
        <v>8</v>
      </c>
      <c r="F31" s="14" t="s">
        <v>25</v>
      </c>
      <c r="G31" s="14" t="s">
        <v>228</v>
      </c>
      <c r="H31" s="14" t="s">
        <v>229</v>
      </c>
      <c r="I31" s="14" t="s">
        <v>67</v>
      </c>
      <c r="J31" s="15">
        <v>46172</v>
      </c>
      <c r="K31" s="14" t="s">
        <v>28</v>
      </c>
      <c r="L31" s="14">
        <v>2</v>
      </c>
      <c r="M31" s="15">
        <v>46173</v>
      </c>
      <c r="N31" s="14" t="s">
        <v>220</v>
      </c>
      <c r="O31" s="14" t="s">
        <v>230</v>
      </c>
      <c r="P31" s="14"/>
    </row>
    <row r="32" ht="32" customHeight="1" spans="1:16" x14ac:dyDescent="0.25">
      <c r="A32" s="14" t="s">
        <v>231</v>
      </c>
      <c r="B32" s="14" t="s">
        <v>215</v>
      </c>
      <c r="C32" s="14" t="s">
        <v>232</v>
      </c>
      <c r="D32" s="14" t="s">
        <v>71</v>
      </c>
      <c r="E32" s="14">
        <v>5</v>
      </c>
      <c r="F32" s="14" t="s">
        <v>25</v>
      </c>
      <c r="G32" s="14" t="s">
        <v>233</v>
      </c>
      <c r="H32" s="14" t="s">
        <v>234</v>
      </c>
      <c r="I32" s="14" t="s">
        <v>67</v>
      </c>
      <c r="J32" s="15">
        <v>46173</v>
      </c>
      <c r="K32" s="14" t="s">
        <v>28</v>
      </c>
      <c r="L32" s="14">
        <v>2</v>
      </c>
      <c r="M32" s="15">
        <v>46174</v>
      </c>
      <c r="N32" s="14" t="s">
        <v>226</v>
      </c>
      <c r="O32" s="14" t="s">
        <v>235</v>
      </c>
      <c r="P32" s="14"/>
    </row>
    <row r="33" ht="48" customHeight="1" spans="1:16" x14ac:dyDescent="0.25">
      <c r="A33" s="14" t="s">
        <v>236</v>
      </c>
      <c r="B33" s="14" t="s">
        <v>215</v>
      </c>
      <c r="C33" s="14" t="s">
        <v>237</v>
      </c>
      <c r="D33" s="14" t="s">
        <v>52</v>
      </c>
      <c r="E33" s="14">
        <v>8</v>
      </c>
      <c r="F33" s="14" t="s">
        <v>25</v>
      </c>
      <c r="G33" s="14" t="s">
        <v>238</v>
      </c>
      <c r="H33" s="14" t="s">
        <v>239</v>
      </c>
      <c r="I33" s="14" t="s">
        <v>67</v>
      </c>
      <c r="J33" s="15">
        <v>46174</v>
      </c>
      <c r="K33" s="14" t="s">
        <v>28</v>
      </c>
      <c r="L33" s="14">
        <v>2</v>
      </c>
      <c r="M33" s="15">
        <v>46175</v>
      </c>
      <c r="N33" s="14" t="s">
        <v>240</v>
      </c>
      <c r="O33" s="14" t="s">
        <v>241</v>
      </c>
      <c r="P33" s="14"/>
    </row>
    <row r="34" ht="32" customHeight="1" spans="1:16" x14ac:dyDescent="0.25">
      <c r="A34" s="14" t="s">
        <v>242</v>
      </c>
      <c r="B34" s="14" t="s">
        <v>243</v>
      </c>
      <c r="C34" s="14" t="s">
        <v>244</v>
      </c>
      <c r="D34" s="14" t="s">
        <v>71</v>
      </c>
      <c r="E34" s="14">
        <v>5</v>
      </c>
      <c r="F34" s="14" t="s">
        <v>25</v>
      </c>
      <c r="G34" s="14" t="s">
        <v>245</v>
      </c>
      <c r="H34" s="14" t="s">
        <v>246</v>
      </c>
      <c r="I34" s="14" t="s">
        <v>61</v>
      </c>
      <c r="J34" s="15">
        <v>46173</v>
      </c>
      <c r="K34" s="14" t="s">
        <v>28</v>
      </c>
      <c r="L34" s="14">
        <v>2</v>
      </c>
      <c r="M34" s="15">
        <v>46174</v>
      </c>
      <c r="N34" s="14" t="s">
        <v>247</v>
      </c>
      <c r="O34" s="14" t="s">
        <v>248</v>
      </c>
      <c r="P34" s="14"/>
    </row>
    <row r="35" ht="32" customHeight="1" spans="1:16" x14ac:dyDescent="0.25">
      <c r="A35" s="14" t="s">
        <v>249</v>
      </c>
      <c r="B35" s="14" t="s">
        <v>243</v>
      </c>
      <c r="C35" s="14" t="s">
        <v>250</v>
      </c>
      <c r="D35" s="14" t="s">
        <v>71</v>
      </c>
      <c r="E35" s="14">
        <v>8</v>
      </c>
      <c r="F35" s="14" t="s">
        <v>25</v>
      </c>
      <c r="G35" s="14" t="s">
        <v>251</v>
      </c>
      <c r="H35" s="14" t="s">
        <v>252</v>
      </c>
      <c r="I35" s="14" t="s">
        <v>61</v>
      </c>
      <c r="J35" s="15">
        <v>46174</v>
      </c>
      <c r="K35" s="14" t="s">
        <v>28</v>
      </c>
      <c r="L35" s="14">
        <v>3</v>
      </c>
      <c r="M35" s="15">
        <v>46176</v>
      </c>
      <c r="N35" s="14" t="s">
        <v>253</v>
      </c>
      <c r="O35" s="14" t="s">
        <v>254</v>
      </c>
      <c r="P35" s="14"/>
    </row>
    <row r="36" ht="32" customHeight="1" spans="1:16" x14ac:dyDescent="0.25">
      <c r="A36" s="14" t="s">
        <v>255</v>
      </c>
      <c r="B36" s="14" t="s">
        <v>243</v>
      </c>
      <c r="C36" s="14" t="s">
        <v>256</v>
      </c>
      <c r="D36" s="14" t="s">
        <v>71</v>
      </c>
      <c r="E36" s="14">
        <v>5</v>
      </c>
      <c r="F36" s="14" t="s">
        <v>25</v>
      </c>
      <c r="G36" s="14" t="s">
        <v>257</v>
      </c>
      <c r="H36" s="14" t="s">
        <v>258</v>
      </c>
      <c r="I36" s="14" t="s">
        <v>61</v>
      </c>
      <c r="J36" s="15">
        <v>46176</v>
      </c>
      <c r="K36" s="14" t="s">
        <v>28</v>
      </c>
      <c r="L36" s="14">
        <v>2</v>
      </c>
      <c r="M36" s="15">
        <v>46177</v>
      </c>
      <c r="N36" s="14" t="s">
        <v>259</v>
      </c>
      <c r="O36" s="14" t="s">
        <v>260</v>
      </c>
      <c r="P36" s="14"/>
    </row>
    <row r="37" ht="32" customHeight="1" spans="1:16" x14ac:dyDescent="0.25">
      <c r="A37" s="14" t="s">
        <v>261</v>
      </c>
      <c r="B37" s="14" t="s">
        <v>262</v>
      </c>
      <c r="C37" s="14" t="s">
        <v>263</v>
      </c>
      <c r="D37" s="14" t="s">
        <v>52</v>
      </c>
      <c r="E37" s="14">
        <v>5</v>
      </c>
      <c r="F37" s="14" t="s">
        <v>25</v>
      </c>
      <c r="G37" s="14" t="s">
        <v>264</v>
      </c>
      <c r="H37" s="14" t="s">
        <v>265</v>
      </c>
      <c r="I37" s="14" t="s">
        <v>86</v>
      </c>
      <c r="J37" s="15">
        <v>46178</v>
      </c>
      <c r="K37" s="14" t="s">
        <v>30</v>
      </c>
      <c r="L37" s="14">
        <v>1</v>
      </c>
      <c r="M37" s="15">
        <v>46178</v>
      </c>
      <c r="N37" s="14" t="s">
        <v>125</v>
      </c>
      <c r="O37" s="14" t="s">
        <v>266</v>
      </c>
      <c r="P37" s="14"/>
    </row>
    <row r="38" ht="32" customHeight="1" spans="1:16" x14ac:dyDescent="0.25">
      <c r="A38" s="14" t="s">
        <v>267</v>
      </c>
      <c r="B38" s="14" t="s">
        <v>268</v>
      </c>
      <c r="C38" s="14" t="s">
        <v>269</v>
      </c>
      <c r="D38" s="14" t="s">
        <v>71</v>
      </c>
      <c r="E38" s="14">
        <v>8</v>
      </c>
      <c r="F38" s="14" t="s">
        <v>25</v>
      </c>
      <c r="G38" s="14" t="s">
        <v>270</v>
      </c>
      <c r="H38" s="14" t="s">
        <v>271</v>
      </c>
      <c r="I38" s="14" t="s">
        <v>67</v>
      </c>
      <c r="J38" s="15">
        <v>46178</v>
      </c>
      <c r="K38" s="14" t="s">
        <v>30</v>
      </c>
      <c r="L38" s="14">
        <v>2</v>
      </c>
      <c r="M38" s="15">
        <v>46179</v>
      </c>
      <c r="N38" s="14" t="s">
        <v>272</v>
      </c>
      <c r="O38" s="14" t="s">
        <v>273</v>
      </c>
      <c r="P38" s="14"/>
    </row>
    <row r="39" ht="32" customHeight="1" spans="1:16" x14ac:dyDescent="0.25">
      <c r="A39" s="14" t="s">
        <v>274</v>
      </c>
      <c r="B39" s="14" t="s">
        <v>268</v>
      </c>
      <c r="C39" s="14" t="s">
        <v>275</v>
      </c>
      <c r="D39" s="14" t="s">
        <v>71</v>
      </c>
      <c r="E39" s="14">
        <v>5</v>
      </c>
      <c r="F39" s="14" t="s">
        <v>25</v>
      </c>
      <c r="G39" s="14" t="s">
        <v>276</v>
      </c>
      <c r="H39" s="14" t="s">
        <v>277</v>
      </c>
      <c r="I39" s="14" t="s">
        <v>67</v>
      </c>
      <c r="J39" s="15">
        <v>46179</v>
      </c>
      <c r="K39" s="14" t="s">
        <v>30</v>
      </c>
      <c r="L39" s="14">
        <v>2</v>
      </c>
      <c r="M39" s="15">
        <v>46180</v>
      </c>
      <c r="N39" s="14" t="s">
        <v>267</v>
      </c>
      <c r="O39" s="14" t="s">
        <v>278</v>
      </c>
      <c r="P39" s="14"/>
    </row>
    <row r="40" ht="32" customHeight="1" spans="1:16" x14ac:dyDescent="0.25">
      <c r="A40" s="14" t="s">
        <v>279</v>
      </c>
      <c r="B40" s="14" t="s">
        <v>280</v>
      </c>
      <c r="C40" s="14" t="s">
        <v>281</v>
      </c>
      <c r="D40" s="14" t="s">
        <v>71</v>
      </c>
      <c r="E40" s="14">
        <v>8</v>
      </c>
      <c r="F40" s="14" t="s">
        <v>25</v>
      </c>
      <c r="G40" s="14" t="s">
        <v>282</v>
      </c>
      <c r="H40" s="14" t="s">
        <v>283</v>
      </c>
      <c r="I40" s="14" t="s">
        <v>61</v>
      </c>
      <c r="J40" s="15">
        <v>46180</v>
      </c>
      <c r="K40" s="14" t="s">
        <v>30</v>
      </c>
      <c r="L40" s="14">
        <v>2</v>
      </c>
      <c r="M40" s="15">
        <v>46181</v>
      </c>
      <c r="N40" s="14" t="s">
        <v>267</v>
      </c>
      <c r="O40" s="14" t="s">
        <v>284</v>
      </c>
      <c r="P40" s="14"/>
    </row>
    <row r="41" ht="16" customHeight="1" spans="1:16" x14ac:dyDescent="0.25">
      <c r="A41" s="14" t="s">
        <v>285</v>
      </c>
      <c r="B41" s="14" t="s">
        <v>286</v>
      </c>
      <c r="C41" s="14" t="s">
        <v>287</v>
      </c>
      <c r="D41" s="14" t="s">
        <v>52</v>
      </c>
      <c r="E41" s="14">
        <v>3</v>
      </c>
      <c r="F41" s="14" t="s">
        <v>25</v>
      </c>
      <c r="G41" s="14" t="s">
        <v>288</v>
      </c>
      <c r="H41" s="14" t="s">
        <v>289</v>
      </c>
      <c r="I41" s="14" t="s">
        <v>86</v>
      </c>
      <c r="J41" s="15">
        <v>46180</v>
      </c>
      <c r="K41" s="14" t="s">
        <v>30</v>
      </c>
      <c r="L41" s="14">
        <v>1</v>
      </c>
      <c r="M41" s="15">
        <v>46180</v>
      </c>
      <c r="N41" s="14" t="s">
        <v>290</v>
      </c>
      <c r="O41" s="14" t="s">
        <v>291</v>
      </c>
      <c r="P41" s="14"/>
    </row>
    <row r="42" ht="32" customHeight="1" spans="1:16" x14ac:dyDescent="0.25">
      <c r="A42" s="14" t="s">
        <v>292</v>
      </c>
      <c r="B42" s="14" t="s">
        <v>286</v>
      </c>
      <c r="C42" s="14" t="s">
        <v>293</v>
      </c>
      <c r="D42" s="14" t="s">
        <v>71</v>
      </c>
      <c r="E42" s="14">
        <v>8</v>
      </c>
      <c r="F42" s="14" t="s">
        <v>25</v>
      </c>
      <c r="G42" s="14" t="s">
        <v>294</v>
      </c>
      <c r="H42" s="14" t="s">
        <v>295</v>
      </c>
      <c r="I42" s="14" t="s">
        <v>67</v>
      </c>
      <c r="J42" s="15">
        <v>46181</v>
      </c>
      <c r="K42" s="14" t="s">
        <v>30</v>
      </c>
      <c r="L42" s="14">
        <v>2</v>
      </c>
      <c r="M42" s="15">
        <v>46182</v>
      </c>
      <c r="N42" s="14" t="s">
        <v>285</v>
      </c>
      <c r="O42" s="14" t="s">
        <v>296</v>
      </c>
      <c r="P42" s="14"/>
    </row>
    <row r="43" ht="32" customHeight="1" spans="1:16" x14ac:dyDescent="0.25">
      <c r="A43" s="14" t="s">
        <v>297</v>
      </c>
      <c r="B43" s="14" t="s">
        <v>286</v>
      </c>
      <c r="C43" s="14" t="s">
        <v>298</v>
      </c>
      <c r="D43" s="14" t="s">
        <v>71</v>
      </c>
      <c r="E43" s="14">
        <v>8</v>
      </c>
      <c r="F43" s="14" t="s">
        <v>25</v>
      </c>
      <c r="G43" s="14" t="s">
        <v>299</v>
      </c>
      <c r="H43" s="14" t="s">
        <v>300</v>
      </c>
      <c r="I43" s="14" t="s">
        <v>61</v>
      </c>
      <c r="J43" s="15">
        <v>46182</v>
      </c>
      <c r="K43" s="14" t="s">
        <v>30</v>
      </c>
      <c r="L43" s="14">
        <v>3</v>
      </c>
      <c r="M43" s="15">
        <v>46184</v>
      </c>
      <c r="N43" s="14" t="s">
        <v>301</v>
      </c>
      <c r="O43" s="14" t="s">
        <v>302</v>
      </c>
      <c r="P43" s="14"/>
    </row>
    <row r="44" ht="32" customHeight="1" spans="1:16" x14ac:dyDescent="0.25">
      <c r="A44" s="14" t="s">
        <v>303</v>
      </c>
      <c r="B44" s="14" t="s">
        <v>286</v>
      </c>
      <c r="C44" s="14" t="s">
        <v>304</v>
      </c>
      <c r="D44" s="14" t="s">
        <v>52</v>
      </c>
      <c r="E44" s="14">
        <v>8</v>
      </c>
      <c r="F44" s="14" t="s">
        <v>25</v>
      </c>
      <c r="G44" s="14" t="s">
        <v>305</v>
      </c>
      <c r="H44" s="14" t="s">
        <v>306</v>
      </c>
      <c r="I44" s="14" t="s">
        <v>61</v>
      </c>
      <c r="J44" s="15">
        <v>46183</v>
      </c>
      <c r="K44" s="14" t="s">
        <v>30</v>
      </c>
      <c r="L44" s="14">
        <v>3</v>
      </c>
      <c r="M44" s="15">
        <v>46185</v>
      </c>
      <c r="N44" s="14" t="s">
        <v>307</v>
      </c>
      <c r="O44" s="14" t="s">
        <v>308</v>
      </c>
      <c r="P44" s="14"/>
    </row>
    <row r="45" ht="16" customHeight="1" spans="1:16" x14ac:dyDescent="0.25">
      <c r="A45" s="14" t="s">
        <v>309</v>
      </c>
      <c r="B45" s="14" t="s">
        <v>310</v>
      </c>
      <c r="C45" s="14" t="s">
        <v>311</v>
      </c>
      <c r="D45" s="14" t="s">
        <v>71</v>
      </c>
      <c r="E45" s="14">
        <v>3</v>
      </c>
      <c r="F45" s="14" t="s">
        <v>25</v>
      </c>
      <c r="G45" s="14" t="s">
        <v>312</v>
      </c>
      <c r="H45" s="14" t="s">
        <v>313</v>
      </c>
      <c r="I45" s="14" t="s">
        <v>86</v>
      </c>
      <c r="J45" s="15">
        <v>46186</v>
      </c>
      <c r="K45" s="14" t="s">
        <v>31</v>
      </c>
      <c r="L45" s="14">
        <v>1</v>
      </c>
      <c r="M45" s="15">
        <v>46186</v>
      </c>
      <c r="N45" s="14" t="s">
        <v>125</v>
      </c>
      <c r="O45" s="14" t="s">
        <v>314</v>
      </c>
      <c r="P45" s="14"/>
    </row>
    <row r="46" ht="32" customHeight="1" spans="1:16" x14ac:dyDescent="0.25">
      <c r="A46" s="14" t="s">
        <v>315</v>
      </c>
      <c r="B46" s="14" t="s">
        <v>310</v>
      </c>
      <c r="C46" s="14" t="s">
        <v>316</v>
      </c>
      <c r="D46" s="14" t="s">
        <v>71</v>
      </c>
      <c r="E46" s="14">
        <v>5</v>
      </c>
      <c r="F46" s="14" t="s">
        <v>25</v>
      </c>
      <c r="G46" s="14" t="s">
        <v>317</v>
      </c>
      <c r="H46" s="14" t="s">
        <v>318</v>
      </c>
      <c r="I46" s="14" t="s">
        <v>67</v>
      </c>
      <c r="J46" s="15">
        <v>46187</v>
      </c>
      <c r="K46" s="14" t="s">
        <v>31</v>
      </c>
      <c r="L46" s="14">
        <v>2</v>
      </c>
      <c r="M46" s="15">
        <v>46188</v>
      </c>
      <c r="N46" s="14" t="s">
        <v>319</v>
      </c>
      <c r="O46" s="14" t="s">
        <v>320</v>
      </c>
      <c r="P46" s="14"/>
    </row>
    <row r="47" ht="16" customHeight="1" spans="1:16" x14ac:dyDescent="0.25">
      <c r="A47" s="14" t="s">
        <v>321</v>
      </c>
      <c r="B47" s="14" t="s">
        <v>310</v>
      </c>
      <c r="C47" s="14" t="s">
        <v>322</v>
      </c>
      <c r="D47" s="14" t="s">
        <v>184</v>
      </c>
      <c r="E47" s="14">
        <v>3</v>
      </c>
      <c r="F47" s="14" t="s">
        <v>25</v>
      </c>
      <c r="G47" s="14" t="s">
        <v>323</v>
      </c>
      <c r="H47" s="14" t="s">
        <v>324</v>
      </c>
      <c r="I47" s="14" t="s">
        <v>67</v>
      </c>
      <c r="J47" s="15">
        <v>46188</v>
      </c>
      <c r="K47" s="14" t="s">
        <v>31</v>
      </c>
      <c r="L47" s="14">
        <v>1</v>
      </c>
      <c r="M47" s="15">
        <v>46188</v>
      </c>
      <c r="N47" s="14" t="s">
        <v>315</v>
      </c>
      <c r="O47" s="14" t="s">
        <v>325</v>
      </c>
      <c r="P47" s="14"/>
    </row>
    <row r="48" ht="16" customHeight="1" spans="1:16" x14ac:dyDescent="0.25">
      <c r="A48" s="14" t="s">
        <v>326</v>
      </c>
      <c r="B48" s="14" t="s">
        <v>310</v>
      </c>
      <c r="C48" s="14" t="s">
        <v>327</v>
      </c>
      <c r="D48" s="14" t="s">
        <v>184</v>
      </c>
      <c r="E48" s="14">
        <v>5</v>
      </c>
      <c r="F48" s="14" t="s">
        <v>25</v>
      </c>
      <c r="G48" s="14" t="s">
        <v>328</v>
      </c>
      <c r="H48" s="14" t="s">
        <v>329</v>
      </c>
      <c r="I48" s="14" t="s">
        <v>61</v>
      </c>
      <c r="J48" s="15">
        <v>46189</v>
      </c>
      <c r="K48" s="14" t="s">
        <v>31</v>
      </c>
      <c r="L48" s="14">
        <v>2</v>
      </c>
      <c r="M48" s="15">
        <v>46190</v>
      </c>
      <c r="N48" s="14" t="s">
        <v>330</v>
      </c>
      <c r="O48" s="14" t="s">
        <v>331</v>
      </c>
      <c r="P48" s="14"/>
    </row>
    <row r="49" ht="32" customHeight="1" spans="1:16" x14ac:dyDescent="0.25">
      <c r="A49" s="14" t="s">
        <v>332</v>
      </c>
      <c r="B49" s="14" t="s">
        <v>333</v>
      </c>
      <c r="C49" s="14" t="s">
        <v>334</v>
      </c>
      <c r="D49" s="14" t="s">
        <v>71</v>
      </c>
      <c r="E49" s="14">
        <v>5</v>
      </c>
      <c r="F49" s="14" t="s">
        <v>25</v>
      </c>
      <c r="G49" s="14" t="s">
        <v>335</v>
      </c>
      <c r="H49" s="14" t="s">
        <v>336</v>
      </c>
      <c r="I49" s="14" t="s">
        <v>61</v>
      </c>
      <c r="J49" s="15">
        <v>46188</v>
      </c>
      <c r="K49" s="14" t="s">
        <v>31</v>
      </c>
      <c r="L49" s="14">
        <v>2</v>
      </c>
      <c r="M49" s="15">
        <v>46189</v>
      </c>
      <c r="N49" s="14" t="s">
        <v>337</v>
      </c>
      <c r="O49" s="14" t="s">
        <v>338</v>
      </c>
      <c r="P49" s="14"/>
    </row>
    <row r="50" ht="16" customHeight="1" spans="1:16" x14ac:dyDescent="0.25">
      <c r="A50" s="14" t="s">
        <v>339</v>
      </c>
      <c r="B50" s="14" t="s">
        <v>333</v>
      </c>
      <c r="C50" s="14" t="s">
        <v>340</v>
      </c>
      <c r="D50" s="14" t="s">
        <v>71</v>
      </c>
      <c r="E50" s="14">
        <v>5</v>
      </c>
      <c r="F50" s="14" t="s">
        <v>25</v>
      </c>
      <c r="G50" s="14" t="s">
        <v>341</v>
      </c>
      <c r="H50" s="14" t="s">
        <v>342</v>
      </c>
      <c r="I50" s="14" t="s">
        <v>61</v>
      </c>
      <c r="J50" s="15">
        <v>46189</v>
      </c>
      <c r="K50" s="14" t="s">
        <v>31</v>
      </c>
      <c r="L50" s="14">
        <v>2</v>
      </c>
      <c r="M50" s="15">
        <v>46190</v>
      </c>
      <c r="N50" s="14" t="s">
        <v>303</v>
      </c>
      <c r="O50" s="14" t="s">
        <v>343</v>
      </c>
      <c r="P50" s="14"/>
    </row>
    <row r="51" ht="16" customHeight="1" spans="1:16" x14ac:dyDescent="0.25">
      <c r="A51" s="14" t="s">
        <v>344</v>
      </c>
      <c r="B51" s="14" t="s">
        <v>345</v>
      </c>
      <c r="C51" s="14" t="s">
        <v>346</v>
      </c>
      <c r="D51" s="14" t="s">
        <v>184</v>
      </c>
      <c r="E51" s="14">
        <v>5</v>
      </c>
      <c r="F51" s="14" t="s">
        <v>25</v>
      </c>
      <c r="G51" s="14" t="s">
        <v>347</v>
      </c>
      <c r="H51" s="14" t="s">
        <v>348</v>
      </c>
      <c r="I51" s="14" t="s">
        <v>67</v>
      </c>
      <c r="J51" s="15">
        <v>46190</v>
      </c>
      <c r="K51" s="14" t="s">
        <v>31</v>
      </c>
      <c r="L51" s="14">
        <v>2</v>
      </c>
      <c r="M51" s="15">
        <v>46191</v>
      </c>
      <c r="N51" s="14" t="s">
        <v>226</v>
      </c>
      <c r="O51" s="14" t="s">
        <v>349</v>
      </c>
      <c r="P51" s="14"/>
    </row>
    <row r="52" ht="16" customHeight="1" spans="1:16" x14ac:dyDescent="0.25">
      <c r="A52" s="14" t="s">
        <v>350</v>
      </c>
      <c r="B52" s="14" t="s">
        <v>345</v>
      </c>
      <c r="C52" s="14" t="s">
        <v>351</v>
      </c>
      <c r="D52" s="14" t="s">
        <v>184</v>
      </c>
      <c r="E52" s="14">
        <v>3</v>
      </c>
      <c r="F52" s="14" t="s">
        <v>25</v>
      </c>
      <c r="G52" s="14" t="s">
        <v>352</v>
      </c>
      <c r="H52" s="14" t="s">
        <v>353</v>
      </c>
      <c r="I52" s="14" t="s">
        <v>61</v>
      </c>
      <c r="J52" s="15">
        <v>46191</v>
      </c>
      <c r="K52" s="14" t="s">
        <v>31</v>
      </c>
      <c r="L52" s="14">
        <v>1</v>
      </c>
      <c r="M52" s="15">
        <v>46191</v>
      </c>
      <c r="N52" s="14" t="s">
        <v>354</v>
      </c>
      <c r="O52" s="14" t="s">
        <v>355</v>
      </c>
      <c r="P52" s="14"/>
    </row>
    <row r="53" ht="32" customHeight="1" spans="1:16" x14ac:dyDescent="0.25">
      <c r="A53" s="14" t="s">
        <v>356</v>
      </c>
      <c r="B53" s="14" t="s">
        <v>357</v>
      </c>
      <c r="C53" s="14" t="s">
        <v>358</v>
      </c>
      <c r="D53" s="14" t="s">
        <v>71</v>
      </c>
      <c r="E53" s="14">
        <v>5</v>
      </c>
      <c r="F53" s="14" t="s">
        <v>25</v>
      </c>
      <c r="G53" s="14" t="s">
        <v>359</v>
      </c>
      <c r="H53" s="14" t="s">
        <v>360</v>
      </c>
      <c r="I53" s="14" t="s">
        <v>86</v>
      </c>
      <c r="J53" s="15">
        <v>46193</v>
      </c>
      <c r="K53" s="14" t="s">
        <v>32</v>
      </c>
      <c r="L53" s="14">
        <v>2</v>
      </c>
      <c r="M53" s="15">
        <v>46194</v>
      </c>
      <c r="N53" s="14" t="s">
        <v>361</v>
      </c>
      <c r="O53" s="14" t="s">
        <v>362</v>
      </c>
      <c r="P53" s="14"/>
    </row>
    <row r="54" ht="16" customHeight="1" spans="1:16" x14ac:dyDescent="0.25">
      <c r="A54" s="14" t="s">
        <v>363</v>
      </c>
      <c r="B54" s="14" t="s">
        <v>357</v>
      </c>
      <c r="C54" s="14" t="s">
        <v>364</v>
      </c>
      <c r="D54" s="14" t="s">
        <v>184</v>
      </c>
      <c r="E54" s="14">
        <v>5</v>
      </c>
      <c r="F54" s="14" t="s">
        <v>25</v>
      </c>
      <c r="G54" s="14" t="s">
        <v>365</v>
      </c>
      <c r="H54" s="14" t="s">
        <v>366</v>
      </c>
      <c r="I54" s="14" t="s">
        <v>86</v>
      </c>
      <c r="J54" s="15">
        <v>46194</v>
      </c>
      <c r="K54" s="14" t="s">
        <v>32</v>
      </c>
      <c r="L54" s="14">
        <v>2</v>
      </c>
      <c r="M54" s="15">
        <v>46195</v>
      </c>
      <c r="N54" s="14" t="s">
        <v>356</v>
      </c>
      <c r="O54" s="14" t="s">
        <v>367</v>
      </c>
      <c r="P54" s="14"/>
    </row>
    <row r="55" ht="32" customHeight="1" spans="1:16" x14ac:dyDescent="0.25">
      <c r="A55" s="14" t="s">
        <v>368</v>
      </c>
      <c r="B55" s="14" t="s">
        <v>130</v>
      </c>
      <c r="C55" s="14" t="s">
        <v>369</v>
      </c>
      <c r="D55" s="14" t="s">
        <v>52</v>
      </c>
      <c r="E55" s="14">
        <v>8</v>
      </c>
      <c r="F55" s="14" t="s">
        <v>25</v>
      </c>
      <c r="G55" s="14" t="s">
        <v>370</v>
      </c>
      <c r="H55" s="14" t="s">
        <v>371</v>
      </c>
      <c r="I55" s="14" t="s">
        <v>130</v>
      </c>
      <c r="J55" s="15">
        <v>46195</v>
      </c>
      <c r="K55" s="14" t="s">
        <v>32</v>
      </c>
      <c r="L55" s="14">
        <v>2</v>
      </c>
      <c r="M55" s="15">
        <v>46196</v>
      </c>
      <c r="N55" s="14" t="s">
        <v>372</v>
      </c>
      <c r="O55" s="14" t="s">
        <v>373</v>
      </c>
      <c r="P55" s="14"/>
    </row>
    <row r="56" ht="16" customHeight="1" spans="1:16" x14ac:dyDescent="0.25">
      <c r="A56" s="14" t="s">
        <v>374</v>
      </c>
      <c r="B56" s="14" t="s">
        <v>375</v>
      </c>
      <c r="C56" s="14" t="s">
        <v>376</v>
      </c>
      <c r="D56" s="14" t="s">
        <v>71</v>
      </c>
      <c r="E56" s="14">
        <v>8</v>
      </c>
      <c r="F56" s="14" t="s">
        <v>25</v>
      </c>
      <c r="G56" s="14" t="s">
        <v>377</v>
      </c>
      <c r="H56" s="14" t="s">
        <v>378</v>
      </c>
      <c r="I56" s="14" t="s">
        <v>379</v>
      </c>
      <c r="J56" s="15">
        <v>46196</v>
      </c>
      <c r="K56" s="14" t="s">
        <v>32</v>
      </c>
      <c r="L56" s="14">
        <v>2</v>
      </c>
      <c r="M56" s="15">
        <v>46197</v>
      </c>
      <c r="N56" s="14" t="s">
        <v>380</v>
      </c>
      <c r="O56" s="14" t="s">
        <v>381</v>
      </c>
      <c r="P56" s="14"/>
    </row>
    <row r="57" ht="16" customHeight="1" spans="1:16" x14ac:dyDescent="0.25">
      <c r="A57" s="14" t="s">
        <v>382</v>
      </c>
      <c r="B57" s="14" t="s">
        <v>375</v>
      </c>
      <c r="C57" s="14" t="s">
        <v>383</v>
      </c>
      <c r="D57" s="14" t="s">
        <v>71</v>
      </c>
      <c r="E57" s="14">
        <v>8</v>
      </c>
      <c r="F57" s="14" t="s">
        <v>25</v>
      </c>
      <c r="G57" s="14" t="s">
        <v>384</v>
      </c>
      <c r="H57" s="14" t="s">
        <v>385</v>
      </c>
      <c r="I57" s="14" t="s">
        <v>379</v>
      </c>
      <c r="J57" s="15">
        <v>46197</v>
      </c>
      <c r="K57" s="14" t="s">
        <v>32</v>
      </c>
      <c r="L57" s="14">
        <v>2</v>
      </c>
      <c r="M57" s="15">
        <v>46198</v>
      </c>
      <c r="N57" s="14" t="s">
        <v>386</v>
      </c>
      <c r="O57" s="14" t="s">
        <v>387</v>
      </c>
      <c r="P57" s="14"/>
    </row>
    <row r="58" ht="16" customHeight="1" spans="1:16" x14ac:dyDescent="0.25">
      <c r="A58" s="14" t="s">
        <v>388</v>
      </c>
      <c r="B58" s="14" t="s">
        <v>375</v>
      </c>
      <c r="C58" s="14" t="s">
        <v>389</v>
      </c>
      <c r="D58" s="14" t="s">
        <v>184</v>
      </c>
      <c r="E58" s="14">
        <v>5</v>
      </c>
      <c r="F58" s="14" t="s">
        <v>25</v>
      </c>
      <c r="G58" s="14" t="s">
        <v>390</v>
      </c>
      <c r="H58" s="14" t="s">
        <v>391</v>
      </c>
      <c r="I58" s="14" t="s">
        <v>379</v>
      </c>
      <c r="J58" s="15">
        <v>46198</v>
      </c>
      <c r="K58" s="14" t="s">
        <v>32</v>
      </c>
      <c r="L58" s="14">
        <v>2</v>
      </c>
      <c r="M58" s="15">
        <v>46199</v>
      </c>
      <c r="N58" s="14" t="s">
        <v>392</v>
      </c>
      <c r="O58" s="14" t="s">
        <v>393</v>
      </c>
      <c r="P58" s="14"/>
    </row>
    <row r="59" ht="16" customHeight="1" spans="1:16" x14ac:dyDescent="0.25">
      <c r="A59" s="14" t="s">
        <v>394</v>
      </c>
      <c r="B59" s="14" t="s">
        <v>375</v>
      </c>
      <c r="C59" s="14" t="s">
        <v>395</v>
      </c>
      <c r="D59" s="14" t="s">
        <v>71</v>
      </c>
      <c r="E59" s="14">
        <v>8</v>
      </c>
      <c r="F59" s="14" t="s">
        <v>25</v>
      </c>
      <c r="G59" s="14" t="s">
        <v>396</v>
      </c>
      <c r="H59" s="14" t="s">
        <v>397</v>
      </c>
      <c r="I59" s="14" t="s">
        <v>379</v>
      </c>
      <c r="J59" s="15">
        <v>46199</v>
      </c>
      <c r="K59" s="14" t="s">
        <v>32</v>
      </c>
      <c r="L59" s="14">
        <v>2</v>
      </c>
      <c r="M59" s="15">
        <v>46200</v>
      </c>
      <c r="N59" s="14" t="s">
        <v>398</v>
      </c>
      <c r="O59" s="14" t="s">
        <v>399</v>
      </c>
      <c r="P59" s="14"/>
    </row>
    <row r="60" ht="16" customHeight="1" spans="1:16" x14ac:dyDescent="0.25">
      <c r="A60" s="14" t="s">
        <v>400</v>
      </c>
      <c r="B60" s="14" t="s">
        <v>401</v>
      </c>
      <c r="C60" s="14" t="s">
        <v>402</v>
      </c>
      <c r="D60" s="14" t="s">
        <v>71</v>
      </c>
      <c r="E60" s="14">
        <v>5</v>
      </c>
      <c r="F60" s="14" t="s">
        <v>25</v>
      </c>
      <c r="G60" s="14" t="s">
        <v>403</v>
      </c>
      <c r="H60" s="14" t="s">
        <v>404</v>
      </c>
      <c r="I60" s="14" t="s">
        <v>55</v>
      </c>
      <c r="J60" s="15">
        <v>46201</v>
      </c>
      <c r="K60" s="14" t="s">
        <v>33</v>
      </c>
      <c r="L60" s="14">
        <v>2</v>
      </c>
      <c r="M60" s="15">
        <v>46202</v>
      </c>
      <c r="N60" s="14" t="s">
        <v>405</v>
      </c>
      <c r="O60" s="14" t="s">
        <v>406</v>
      </c>
      <c r="P60" s="14"/>
    </row>
    <row r="61" ht="16" customHeight="1" spans="1:16" x14ac:dyDescent="0.25">
      <c r="A61" s="14" t="s">
        <v>407</v>
      </c>
      <c r="B61" s="14" t="s">
        <v>401</v>
      </c>
      <c r="C61" s="14" t="s">
        <v>408</v>
      </c>
      <c r="D61" s="14" t="s">
        <v>71</v>
      </c>
      <c r="E61" s="14">
        <v>3</v>
      </c>
      <c r="F61" s="14" t="s">
        <v>25</v>
      </c>
      <c r="G61" s="14" t="s">
        <v>409</v>
      </c>
      <c r="H61" s="14" t="s">
        <v>410</v>
      </c>
      <c r="I61" s="14" t="s">
        <v>55</v>
      </c>
      <c r="J61" s="15">
        <v>46202</v>
      </c>
      <c r="K61" s="14" t="s">
        <v>33</v>
      </c>
      <c r="L61" s="14">
        <v>1</v>
      </c>
      <c r="M61" s="15">
        <v>46202</v>
      </c>
      <c r="N61" s="14" t="s">
        <v>400</v>
      </c>
      <c r="O61" s="14" t="s">
        <v>411</v>
      </c>
      <c r="P61" s="14"/>
    </row>
    <row r="62" ht="16" customHeight="1" spans="1:16" x14ac:dyDescent="0.25">
      <c r="A62" s="14" t="s">
        <v>412</v>
      </c>
      <c r="B62" s="14" t="s">
        <v>401</v>
      </c>
      <c r="C62" s="14" t="s">
        <v>413</v>
      </c>
      <c r="D62" s="14" t="s">
        <v>71</v>
      </c>
      <c r="E62" s="14">
        <v>5</v>
      </c>
      <c r="F62" s="14" t="s">
        <v>25</v>
      </c>
      <c r="G62" s="14" t="s">
        <v>414</v>
      </c>
      <c r="H62" s="14" t="s">
        <v>415</v>
      </c>
      <c r="I62" s="14" t="s">
        <v>55</v>
      </c>
      <c r="J62" s="15">
        <v>46202</v>
      </c>
      <c r="K62" s="14" t="s">
        <v>33</v>
      </c>
      <c r="L62" s="14">
        <v>2</v>
      </c>
      <c r="M62" s="15">
        <v>46203</v>
      </c>
      <c r="N62" s="14" t="s">
        <v>400</v>
      </c>
      <c r="O62" s="14" t="s">
        <v>416</v>
      </c>
      <c r="P62" s="14"/>
    </row>
    <row r="63" ht="16" customHeight="1" spans="1:16" x14ac:dyDescent="0.25">
      <c r="A63" s="14" t="s">
        <v>417</v>
      </c>
      <c r="B63" s="14" t="s">
        <v>401</v>
      </c>
      <c r="C63" s="14" t="s">
        <v>418</v>
      </c>
      <c r="D63" s="14" t="s">
        <v>52</v>
      </c>
      <c r="E63" s="14">
        <v>5</v>
      </c>
      <c r="F63" s="14" t="s">
        <v>25</v>
      </c>
      <c r="G63" s="14" t="s">
        <v>419</v>
      </c>
      <c r="H63" s="14" t="s">
        <v>420</v>
      </c>
      <c r="I63" s="14" t="s">
        <v>55</v>
      </c>
      <c r="J63" s="15">
        <v>46203</v>
      </c>
      <c r="K63" s="14" t="s">
        <v>33</v>
      </c>
      <c r="L63" s="14">
        <v>2</v>
      </c>
      <c r="M63" s="15">
        <v>46204</v>
      </c>
      <c r="N63" s="14" t="s">
        <v>421</v>
      </c>
      <c r="O63" s="14" t="s">
        <v>422</v>
      </c>
      <c r="P63" s="14"/>
    </row>
    <row r="64" ht="16" customHeight="1" spans="1:16" x14ac:dyDescent="0.25">
      <c r="A64" s="14" t="s">
        <v>423</v>
      </c>
      <c r="B64" s="14" t="s">
        <v>401</v>
      </c>
      <c r="C64" s="14" t="s">
        <v>424</v>
      </c>
      <c r="D64" s="14" t="s">
        <v>71</v>
      </c>
      <c r="E64" s="14">
        <v>3</v>
      </c>
      <c r="F64" s="14" t="s">
        <v>25</v>
      </c>
      <c r="G64" s="14" t="s">
        <v>425</v>
      </c>
      <c r="H64" s="14" t="s">
        <v>426</v>
      </c>
      <c r="I64" s="14" t="s">
        <v>55</v>
      </c>
      <c r="J64" s="15">
        <v>46205</v>
      </c>
      <c r="K64" s="14" t="s">
        <v>33</v>
      </c>
      <c r="L64" s="14">
        <v>1</v>
      </c>
      <c r="M64" s="15">
        <v>46205</v>
      </c>
      <c r="N64" s="14" t="s">
        <v>427</v>
      </c>
      <c r="O64" s="14" t="s">
        <v>428</v>
      </c>
      <c r="P64" s="14"/>
    </row>
    <row r="65" ht="16" customHeight="1" spans="1:16" x14ac:dyDescent="0.25">
      <c r="A65" s="14" t="s">
        <v>429</v>
      </c>
      <c r="B65" s="14" t="s">
        <v>430</v>
      </c>
      <c r="C65" s="14" t="s">
        <v>431</v>
      </c>
      <c r="D65" s="14" t="s">
        <v>71</v>
      </c>
      <c r="E65" s="14">
        <v>3</v>
      </c>
      <c r="F65" s="14" t="s">
        <v>25</v>
      </c>
      <c r="G65" s="14" t="s">
        <v>432</v>
      </c>
      <c r="H65" s="14" t="s">
        <v>433</v>
      </c>
      <c r="I65" s="14" t="s">
        <v>434</v>
      </c>
      <c r="J65" s="15">
        <v>46206</v>
      </c>
      <c r="K65" s="14" t="s">
        <v>33</v>
      </c>
      <c r="L65" s="14">
        <v>1</v>
      </c>
      <c r="M65" s="15">
        <v>46206</v>
      </c>
      <c r="N65" s="14" t="s">
        <v>435</v>
      </c>
      <c r="O65" s="14" t="s">
        <v>436</v>
      </c>
      <c r="P65" s="14"/>
    </row>
    <row r="66" ht="16" customHeight="1" spans="1:16" x14ac:dyDescent="0.25">
      <c r="A66" s="14" t="s">
        <v>437</v>
      </c>
      <c r="B66" s="14" t="s">
        <v>430</v>
      </c>
      <c r="C66" s="14" t="s">
        <v>438</v>
      </c>
      <c r="D66" s="14" t="s">
        <v>184</v>
      </c>
      <c r="E66" s="14">
        <v>3</v>
      </c>
      <c r="F66" s="14" t="s">
        <v>25</v>
      </c>
      <c r="G66" s="14" t="s">
        <v>439</v>
      </c>
      <c r="H66" s="14" t="s">
        <v>440</v>
      </c>
      <c r="I66" s="14" t="s">
        <v>434</v>
      </c>
      <c r="J66" s="15">
        <v>46206</v>
      </c>
      <c r="K66" s="14" t="s">
        <v>33</v>
      </c>
      <c r="L66" s="14">
        <v>2</v>
      </c>
      <c r="M66" s="15">
        <v>46207</v>
      </c>
      <c r="N66" s="14" t="s">
        <v>429</v>
      </c>
      <c r="O66" s="14" t="s">
        <v>441</v>
      </c>
      <c r="P66" s="14"/>
    </row>
    <row r="67" ht="32" customHeight="1" spans="1:16" x14ac:dyDescent="0.25">
      <c r="A67" s="14" t="s">
        <v>442</v>
      </c>
      <c r="B67" s="14" t="s">
        <v>443</v>
      </c>
      <c r="C67" s="14" t="s">
        <v>444</v>
      </c>
      <c r="D67" s="14" t="s">
        <v>184</v>
      </c>
      <c r="E67" s="14">
        <v>3</v>
      </c>
      <c r="F67" s="14" t="s">
        <v>25</v>
      </c>
      <c r="G67" s="14" t="s">
        <v>445</v>
      </c>
      <c r="H67" s="14" t="s">
        <v>446</v>
      </c>
      <c r="I67" s="14" t="s">
        <v>434</v>
      </c>
      <c r="J67" s="15">
        <v>46208</v>
      </c>
      <c r="K67" s="14" t="s">
        <v>34</v>
      </c>
      <c r="L67" s="14">
        <v>2</v>
      </c>
      <c r="M67" s="15">
        <v>46209</v>
      </c>
      <c r="N67" s="14" t="s">
        <v>429</v>
      </c>
      <c r="O67" s="14" t="s">
        <v>447</v>
      </c>
      <c r="P67" s="14"/>
    </row>
    <row r="68" ht="16" customHeight="1" spans="1:16" x14ac:dyDescent="0.25">
      <c r="A68" s="14" t="s">
        <v>448</v>
      </c>
      <c r="B68" s="14" t="s">
        <v>443</v>
      </c>
      <c r="C68" s="14" t="s">
        <v>449</v>
      </c>
      <c r="D68" s="14" t="s">
        <v>184</v>
      </c>
      <c r="E68" s="14">
        <v>5</v>
      </c>
      <c r="F68" s="14" t="s">
        <v>25</v>
      </c>
      <c r="G68" s="14" t="s">
        <v>450</v>
      </c>
      <c r="H68" s="14" t="s">
        <v>451</v>
      </c>
      <c r="I68" s="14" t="s">
        <v>86</v>
      </c>
      <c r="J68" s="15">
        <v>46210</v>
      </c>
      <c r="K68" s="14" t="s">
        <v>34</v>
      </c>
      <c r="L68" s="14">
        <v>2</v>
      </c>
      <c r="M68" s="15">
        <v>46211</v>
      </c>
      <c r="N68" s="14" t="s">
        <v>442</v>
      </c>
      <c r="O68" s="14" t="s">
        <v>452</v>
      </c>
      <c r="P68" s="14"/>
    </row>
    <row r="69" ht="16" customHeight="1" spans="1:16" x14ac:dyDescent="0.25">
      <c r="A69" s="14" t="s">
        <v>453</v>
      </c>
      <c r="B69" s="14" t="s">
        <v>443</v>
      </c>
      <c r="C69" s="14" t="s">
        <v>454</v>
      </c>
      <c r="D69" s="14" t="s">
        <v>184</v>
      </c>
      <c r="E69" s="14">
        <v>5</v>
      </c>
      <c r="F69" s="14" t="s">
        <v>25</v>
      </c>
      <c r="G69" s="14" t="s">
        <v>455</v>
      </c>
      <c r="H69" s="14" t="s">
        <v>456</v>
      </c>
      <c r="I69" s="14" t="s">
        <v>61</v>
      </c>
      <c r="J69" s="15">
        <v>46212</v>
      </c>
      <c r="K69" s="14" t="s">
        <v>34</v>
      </c>
      <c r="L69" s="14">
        <v>2</v>
      </c>
      <c r="M69" s="15">
        <v>46213</v>
      </c>
      <c r="N69" s="14" t="s">
        <v>457</v>
      </c>
      <c r="O69" s="14" t="s">
        <v>458</v>
      </c>
      <c r="P69" s="14"/>
    </row>
    <row r="70" ht="32" customHeight="1" spans="1:16" x14ac:dyDescent="0.25">
      <c r="A70" s="14" t="s">
        <v>459</v>
      </c>
      <c r="B70" s="14" t="s">
        <v>460</v>
      </c>
      <c r="C70" s="14" t="s">
        <v>461</v>
      </c>
      <c r="D70" s="14" t="s">
        <v>462</v>
      </c>
      <c r="E70" s="14">
        <v>8</v>
      </c>
      <c r="F70" s="14" t="s">
        <v>25</v>
      </c>
      <c r="G70" s="14" t="s">
        <v>463</v>
      </c>
      <c r="H70" s="14" t="s">
        <v>464</v>
      </c>
      <c r="I70" s="14" t="s">
        <v>200</v>
      </c>
      <c r="J70" s="15">
        <v>46214</v>
      </c>
      <c r="K70" s="14" t="s">
        <v>34</v>
      </c>
      <c r="L70" s="14">
        <v>3</v>
      </c>
      <c r="M70" s="15">
        <v>46216</v>
      </c>
      <c r="N70" s="14" t="s">
        <v>465</v>
      </c>
      <c r="O70" s="14" t="s">
        <v>466</v>
      </c>
      <c r="P70" s="14"/>
    </row>
    <row r="71" ht="16" customHeight="1" spans="1:16" x14ac:dyDescent="0.25">
      <c r="A71" s="14" t="s">
        <v>467</v>
      </c>
      <c r="B71" s="14" t="s">
        <v>460</v>
      </c>
      <c r="C71" s="14" t="s">
        <v>468</v>
      </c>
      <c r="D71" s="14" t="s">
        <v>462</v>
      </c>
      <c r="E71" s="14">
        <v>5</v>
      </c>
      <c r="F71" s="14" t="s">
        <v>25</v>
      </c>
      <c r="G71" s="14" t="s">
        <v>469</v>
      </c>
      <c r="H71" s="14" t="s">
        <v>470</v>
      </c>
      <c r="I71" s="14" t="s">
        <v>200</v>
      </c>
      <c r="J71" s="15">
        <v>46215</v>
      </c>
      <c r="K71" s="14" t="s">
        <v>34</v>
      </c>
      <c r="L71" s="14">
        <v>2</v>
      </c>
      <c r="M71" s="15">
        <v>46216</v>
      </c>
      <c r="N71" s="14" t="s">
        <v>471</v>
      </c>
      <c r="O71" s="14" t="s">
        <v>331</v>
      </c>
      <c r="P71" s="14"/>
    </row>
    <row r="72" ht="64" customHeight="1" spans="1:16" x14ac:dyDescent="0.25">
      <c r="A72" s="14" t="s">
        <v>472</v>
      </c>
      <c r="B72" s="14" t="s">
        <v>473</v>
      </c>
      <c r="C72" s="14" t="s">
        <v>474</v>
      </c>
      <c r="D72" s="14" t="s">
        <v>71</v>
      </c>
      <c r="E72" s="14">
        <v>3</v>
      </c>
      <c r="F72" s="14" t="s">
        <v>14</v>
      </c>
      <c r="G72" s="14" t="s">
        <v>475</v>
      </c>
      <c r="H72" s="14" t="s">
        <v>476</v>
      </c>
      <c r="I72" s="14" t="s">
        <v>55</v>
      </c>
      <c r="J72" s="15">
        <v>46230</v>
      </c>
      <c r="K72" s="14" t="s">
        <v>477</v>
      </c>
      <c r="L72" s="14">
        <v>1</v>
      </c>
      <c r="M72" s="15">
        <v>46230</v>
      </c>
      <c r="N72" s="14" t="s">
        <v>478</v>
      </c>
      <c r="O72" s="14" t="s">
        <v>479</v>
      </c>
      <c r="P72" s="14" t="s">
        <v>480</v>
      </c>
    </row>
    <row r="73" ht="80" customHeight="1" spans="1:16" x14ac:dyDescent="0.25">
      <c r="A73" s="14" t="s">
        <v>481</v>
      </c>
      <c r="B73" s="14" t="s">
        <v>473</v>
      </c>
      <c r="C73" s="14" t="s">
        <v>482</v>
      </c>
      <c r="D73" s="14" t="s">
        <v>71</v>
      </c>
      <c r="E73" s="14">
        <v>3</v>
      </c>
      <c r="F73" s="14" t="s">
        <v>13</v>
      </c>
      <c r="G73" s="14" t="s">
        <v>483</v>
      </c>
      <c r="H73" s="14" t="s">
        <v>484</v>
      </c>
      <c r="I73" s="14" t="s">
        <v>55</v>
      </c>
      <c r="J73" s="15">
        <v>46230</v>
      </c>
      <c r="K73" s="14" t="s">
        <v>477</v>
      </c>
      <c r="L73" s="14">
        <v>1</v>
      </c>
      <c r="M73" s="15">
        <v>46230</v>
      </c>
      <c r="N73" s="14" t="s">
        <v>472</v>
      </c>
      <c r="O73" s="14" t="s">
        <v>485</v>
      </c>
      <c r="P73" s="14" t="s">
        <v>486</v>
      </c>
    </row>
    <row r="74" ht="96" customHeight="1" spans="1:16" x14ac:dyDescent="0.25">
      <c r="A74" s="14" t="s">
        <v>487</v>
      </c>
      <c r="B74" s="14" t="s">
        <v>473</v>
      </c>
      <c r="C74" s="14" t="s">
        <v>488</v>
      </c>
      <c r="D74" s="14" t="s">
        <v>71</v>
      </c>
      <c r="E74" s="14">
        <v>5</v>
      </c>
      <c r="F74" s="14" t="s">
        <v>13</v>
      </c>
      <c r="G74" s="14" t="s">
        <v>489</v>
      </c>
      <c r="H74" s="14" t="s">
        <v>490</v>
      </c>
      <c r="I74" s="14" t="s">
        <v>55</v>
      </c>
      <c r="J74" s="15">
        <v>46230</v>
      </c>
      <c r="K74" s="14" t="s">
        <v>477</v>
      </c>
      <c r="L74" s="14">
        <v>2</v>
      </c>
      <c r="M74" s="15">
        <v>46231</v>
      </c>
      <c r="N74" s="14" t="s">
        <v>491</v>
      </c>
      <c r="O74" s="14" t="s">
        <v>492</v>
      </c>
      <c r="P74" s="14" t="s">
        <v>493</v>
      </c>
    </row>
    <row r="75" ht="285" customHeight="1" spans="1:16" x14ac:dyDescent="0.25">
      <c r="A75" s="14" t="s">
        <v>494</v>
      </c>
      <c r="B75" s="14" t="s">
        <v>82</v>
      </c>
      <c r="C75" s="14" t="s">
        <v>495</v>
      </c>
      <c r="D75" s="14" t="s">
        <v>52</v>
      </c>
      <c r="E75" s="14">
        <v>8</v>
      </c>
      <c r="F75" s="14" t="s">
        <v>25</v>
      </c>
      <c r="G75" s="14" t="s">
        <v>496</v>
      </c>
      <c r="H75" s="14" t="s">
        <v>497</v>
      </c>
      <c r="I75" s="14" t="s">
        <v>86</v>
      </c>
      <c r="J75" s="15">
        <v>46242</v>
      </c>
      <c r="K75" s="14" t="s">
        <v>498</v>
      </c>
      <c r="L75" s="14">
        <v>3</v>
      </c>
      <c r="M75" s="15">
        <v>46244</v>
      </c>
      <c r="N75" s="14" t="s">
        <v>499</v>
      </c>
      <c r="O75" s="14" t="s">
        <v>500</v>
      </c>
      <c r="P75" s="14"/>
    </row>
  </sheetData>
  <autoFilter ref="A1:P75"/>
  <conditionalFormatting sqref="F2:F75">
    <cfRule type="expression" dxfId="0" priority="1">
      <formula>$F2="Done"</formula>
    </cfRule>
    <cfRule type="expression" dxfId="1" priority="2">
      <formula>$F2="In Progress"</formula>
    </cfRule>
    <cfRule type="expression" dxfId="2" priority="3">
      <formula>$F2="Blocked"</formula>
    </cfRule>
    <cfRule type="expression" dxfId="3" priority="4">
      <formula>$F2="Review"</formula>
    </cfRule>
    <cfRule type="expression" dxfId="4" priority="5">
      <formula>$F2="Todo"</formula>
    </cfRule>
  </conditionalFormatting>
  <dataValidations count="6">
    <dataValidation type="list" allowBlank="1" sqref="D10:D75">
      <formula1>"Critical,High,Medium,Low"</formula1>
    </dataValidation>
    <dataValidation type="list" allowBlank="1" sqref="D2:D75">
      <formula1>"Critical,High,Medium,Low"</formula1>
    </dataValidation>
    <dataValidation type="list" allowBlank="1" sqref="F10:F75">
      <formula1>"Todo,In Progress,Blocked,Review,Done"</formula1>
    </dataValidation>
    <dataValidation type="list" allowBlank="1" sqref="F2:F75">
      <formula1>"Todo,In Progress,Blocked,Review,Done"</formula1>
    </dataValidation>
    <dataValidation type="list" allowBlank="1" sqref="I10:I75">
      <formula1>"Frontend,Backend,Database,DevOps,QA,Product,Security"</formula1>
    </dataValidation>
    <dataValidation type="list" allowBlank="1" sqref="I2:I75">
      <formula1>"Frontend,Backend,Database,DevOps,QA,Product,Security"</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5"/>
  <sheetViews>
    <sheetView workbookViewId="0" showGridLines="0" zoomScale="100" zoomScaleNormal="100">
      <pane ySplit="1" topLeftCell="A2" activePane="bottomLeft" state="frozen"/>
      <selection pane="bottomLeft" activeCell="N16" sqref="N16"/>
    </sheetView>
  </sheetViews>
  <sheetFormatPr defaultRowHeight="15" outlineLevelRow="0" outlineLevelCol="0" x14ac:dyDescent="0.2" defaultColWidth="8.83203125"/>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ht="16" customHeight="1" spans="1:10" x14ac:dyDescent="0.25">
      <c r="A1" s="10" t="s">
        <v>18</v>
      </c>
      <c r="B1" s="10" t="s">
        <v>35</v>
      </c>
      <c r="C1" s="10" t="s">
        <v>36</v>
      </c>
      <c r="D1" s="10" t="s">
        <v>37</v>
      </c>
      <c r="E1" s="10" t="s">
        <v>501</v>
      </c>
      <c r="F1" s="10" t="s">
        <v>38</v>
      </c>
      <c r="G1" s="10" t="s">
        <v>20</v>
      </c>
      <c r="H1" s="10" t="s">
        <v>22</v>
      </c>
      <c r="I1" s="10" t="s">
        <v>46</v>
      </c>
      <c r="J1" s="10" t="s">
        <v>41</v>
      </c>
    </row>
    <row r="2" ht="32" customHeight="1" spans="1:10" x14ac:dyDescent="0.25">
      <c r="A2" s="14" t="s">
        <v>24</v>
      </c>
      <c r="B2" s="14" t="s">
        <v>49</v>
      </c>
      <c r="C2" s="14" t="s">
        <v>50</v>
      </c>
      <c r="D2" s="14" t="s">
        <v>51</v>
      </c>
      <c r="E2" s="14" t="s">
        <v>55</v>
      </c>
      <c r="F2" s="14" t="s">
        <v>52</v>
      </c>
      <c r="G2" s="14">
        <v>3</v>
      </c>
      <c r="H2" s="14" t="s">
        <v>13</v>
      </c>
      <c r="I2" s="14"/>
      <c r="J2" s="14" t="s">
        <v>54</v>
      </c>
    </row>
    <row r="3" ht="112" customHeight="1" spans="1:10" x14ac:dyDescent="0.25">
      <c r="A3" s="14" t="s">
        <v>24</v>
      </c>
      <c r="B3" s="14" t="s">
        <v>57</v>
      </c>
      <c r="C3" s="14" t="s">
        <v>50</v>
      </c>
      <c r="D3" s="14" t="s">
        <v>58</v>
      </c>
      <c r="E3" s="14" t="s">
        <v>61</v>
      </c>
      <c r="F3" s="14" t="s">
        <v>52</v>
      </c>
      <c r="G3" s="14">
        <v>5</v>
      </c>
      <c r="H3" s="14" t="s">
        <v>13</v>
      </c>
      <c r="I3" s="14" t="s">
        <v>49</v>
      </c>
      <c r="J3" s="14" t="s">
        <v>60</v>
      </c>
    </row>
    <row r="4" ht="16" customHeight="1" spans="1:10" x14ac:dyDescent="0.25">
      <c r="A4" s="14" t="s">
        <v>24</v>
      </c>
      <c r="B4" s="14" t="s">
        <v>63</v>
      </c>
      <c r="C4" s="14" t="s">
        <v>50</v>
      </c>
      <c r="D4" s="14" t="s">
        <v>64</v>
      </c>
      <c r="E4" s="14" t="s">
        <v>67</v>
      </c>
      <c r="F4" s="14" t="s">
        <v>52</v>
      </c>
      <c r="G4" s="14">
        <v>5</v>
      </c>
      <c r="H4" s="14" t="s">
        <v>13</v>
      </c>
      <c r="I4" s="14" t="s">
        <v>49</v>
      </c>
      <c r="J4" s="14" t="s">
        <v>66</v>
      </c>
    </row>
    <row r="5" ht="16" customHeight="1" spans="1:10" x14ac:dyDescent="0.25">
      <c r="A5" s="14" t="s">
        <v>24</v>
      </c>
      <c r="B5" s="14" t="s">
        <v>69</v>
      </c>
      <c r="C5" s="14" t="s">
        <v>50</v>
      </c>
      <c r="D5" s="14" t="s">
        <v>70</v>
      </c>
      <c r="E5" s="14" t="s">
        <v>55</v>
      </c>
      <c r="F5" s="14" t="s">
        <v>71</v>
      </c>
      <c r="G5" s="14">
        <v>3</v>
      </c>
      <c r="H5" s="14" t="s">
        <v>13</v>
      </c>
      <c r="I5" s="14" t="s">
        <v>74</v>
      </c>
      <c r="J5" s="14" t="s">
        <v>73</v>
      </c>
    </row>
    <row r="6" ht="16" customHeight="1" spans="1:10" x14ac:dyDescent="0.25">
      <c r="A6" s="14" t="s">
        <v>24</v>
      </c>
      <c r="B6" s="14" t="s">
        <v>76</v>
      </c>
      <c r="C6" s="14" t="s">
        <v>50</v>
      </c>
      <c r="D6" s="14" t="s">
        <v>77</v>
      </c>
      <c r="E6" s="14" t="s">
        <v>55</v>
      </c>
      <c r="F6" s="14" t="s">
        <v>71</v>
      </c>
      <c r="G6" s="14">
        <v>3</v>
      </c>
      <c r="H6" s="14" t="s">
        <v>25</v>
      </c>
      <c r="I6" s="14" t="s">
        <v>74</v>
      </c>
      <c r="J6" s="14" t="s">
        <v>79</v>
      </c>
    </row>
    <row r="7" ht="32" customHeight="1" spans="1:10" x14ac:dyDescent="0.25">
      <c r="A7" s="14" t="s">
        <v>24</v>
      </c>
      <c r="B7" s="14" t="s">
        <v>81</v>
      </c>
      <c r="C7" s="14" t="s">
        <v>82</v>
      </c>
      <c r="D7" s="14" t="s">
        <v>83</v>
      </c>
      <c r="E7" s="14" t="s">
        <v>86</v>
      </c>
      <c r="F7" s="14" t="s">
        <v>52</v>
      </c>
      <c r="G7" s="14">
        <v>3</v>
      </c>
      <c r="H7" s="14" t="s">
        <v>13</v>
      </c>
      <c r="I7" s="14" t="s">
        <v>69</v>
      </c>
      <c r="J7" s="14" t="s">
        <v>85</v>
      </c>
    </row>
    <row r="8" ht="16" customHeight="1" spans="1:10" x14ac:dyDescent="0.25">
      <c r="A8" s="14" t="s">
        <v>24</v>
      </c>
      <c r="B8" s="14" t="s">
        <v>88</v>
      </c>
      <c r="C8" s="14" t="s">
        <v>82</v>
      </c>
      <c r="D8" s="14" t="s">
        <v>89</v>
      </c>
      <c r="E8" s="14" t="s">
        <v>86</v>
      </c>
      <c r="F8" s="14" t="s">
        <v>71</v>
      </c>
      <c r="G8" s="14">
        <v>5</v>
      </c>
      <c r="H8" s="14" t="s">
        <v>13</v>
      </c>
      <c r="I8" s="14" t="s">
        <v>81</v>
      </c>
      <c r="J8" s="14" t="s">
        <v>91</v>
      </c>
    </row>
    <row r="9" ht="16" customHeight="1" spans="1:10" x14ac:dyDescent="0.25">
      <c r="A9" s="14" t="s">
        <v>24</v>
      </c>
      <c r="B9" s="14" t="s">
        <v>93</v>
      </c>
      <c r="C9" s="14" t="s">
        <v>94</v>
      </c>
      <c r="D9" s="14" t="s">
        <v>95</v>
      </c>
      <c r="E9" s="14" t="s">
        <v>67</v>
      </c>
      <c r="F9" s="14" t="s">
        <v>71</v>
      </c>
      <c r="G9" s="14">
        <v>3</v>
      </c>
      <c r="H9" s="14" t="s">
        <v>13</v>
      </c>
      <c r="I9" s="14" t="s">
        <v>63</v>
      </c>
      <c r="J9" s="14" t="s">
        <v>97</v>
      </c>
    </row>
    <row r="10" ht="32" customHeight="1" spans="1:10" x14ac:dyDescent="0.25">
      <c r="A10" s="14" t="s">
        <v>24</v>
      </c>
      <c r="B10" s="14" t="s">
        <v>99</v>
      </c>
      <c r="C10" s="14" t="s">
        <v>94</v>
      </c>
      <c r="D10" s="14" t="s">
        <v>100</v>
      </c>
      <c r="E10" s="14" t="s">
        <v>61</v>
      </c>
      <c r="F10" s="14" t="s">
        <v>71</v>
      </c>
      <c r="G10" s="14">
        <v>5</v>
      </c>
      <c r="H10" s="14" t="s">
        <v>13</v>
      </c>
      <c r="I10" s="14" t="s">
        <v>57</v>
      </c>
      <c r="J10" s="14" t="s">
        <v>102</v>
      </c>
    </row>
    <row r="11" ht="16" customHeight="1" spans="1:10" x14ac:dyDescent="0.25">
      <c r="A11" s="14" t="s">
        <v>26</v>
      </c>
      <c r="B11" s="14" t="s">
        <v>104</v>
      </c>
      <c r="C11" s="14" t="s">
        <v>105</v>
      </c>
      <c r="D11" s="14" t="s">
        <v>106</v>
      </c>
      <c r="E11" s="14" t="s">
        <v>86</v>
      </c>
      <c r="F11" s="14" t="s">
        <v>52</v>
      </c>
      <c r="G11" s="14">
        <v>5</v>
      </c>
      <c r="H11" s="14" t="s">
        <v>13</v>
      </c>
      <c r="I11" s="14" t="s">
        <v>88</v>
      </c>
      <c r="J11" s="14" t="s">
        <v>108</v>
      </c>
    </row>
    <row r="12" ht="16" customHeight="1" spans="1:10" x14ac:dyDescent="0.25">
      <c r="A12" s="14" t="s">
        <v>26</v>
      </c>
      <c r="B12" s="14" t="s">
        <v>110</v>
      </c>
      <c r="C12" s="14" t="s">
        <v>105</v>
      </c>
      <c r="D12" s="14" t="s">
        <v>111</v>
      </c>
      <c r="E12" s="14" t="s">
        <v>86</v>
      </c>
      <c r="F12" s="14" t="s">
        <v>52</v>
      </c>
      <c r="G12" s="14">
        <v>5</v>
      </c>
      <c r="H12" s="14" t="s">
        <v>13</v>
      </c>
      <c r="I12" s="14" t="s">
        <v>104</v>
      </c>
      <c r="J12" s="14" t="s">
        <v>113</v>
      </c>
    </row>
    <row r="13" ht="16" customHeight="1" spans="1:10" x14ac:dyDescent="0.25">
      <c r="A13" s="14" t="s">
        <v>26</v>
      </c>
      <c r="B13" s="14" t="s">
        <v>115</v>
      </c>
      <c r="C13" s="14" t="s">
        <v>105</v>
      </c>
      <c r="D13" s="14" t="s">
        <v>116</v>
      </c>
      <c r="E13" s="14" t="s">
        <v>86</v>
      </c>
      <c r="F13" s="14" t="s">
        <v>71</v>
      </c>
      <c r="G13" s="14">
        <v>3</v>
      </c>
      <c r="H13" s="14" t="s">
        <v>25</v>
      </c>
      <c r="I13" s="14" t="s">
        <v>104</v>
      </c>
      <c r="J13" s="14" t="s">
        <v>118</v>
      </c>
    </row>
    <row r="14" ht="16" customHeight="1" spans="1:10" x14ac:dyDescent="0.25">
      <c r="A14" s="14" t="s">
        <v>26</v>
      </c>
      <c r="B14" s="14" t="s">
        <v>120</v>
      </c>
      <c r="C14" s="14" t="s">
        <v>105</v>
      </c>
      <c r="D14" s="14" t="s">
        <v>121</v>
      </c>
      <c r="E14" s="14" t="s">
        <v>86</v>
      </c>
      <c r="F14" s="14" t="s">
        <v>71</v>
      </c>
      <c r="G14" s="14">
        <v>3</v>
      </c>
      <c r="H14" s="14" t="s">
        <v>25</v>
      </c>
      <c r="I14" s="14" t="s">
        <v>110</v>
      </c>
      <c r="J14" s="14" t="s">
        <v>123</v>
      </c>
    </row>
    <row r="15" ht="32" customHeight="1" spans="1:10" x14ac:dyDescent="0.25">
      <c r="A15" s="14" t="s">
        <v>26</v>
      </c>
      <c r="B15" s="14" t="s">
        <v>125</v>
      </c>
      <c r="C15" s="14" t="s">
        <v>126</v>
      </c>
      <c r="D15" s="14" t="s">
        <v>127</v>
      </c>
      <c r="E15" s="14" t="s">
        <v>130</v>
      </c>
      <c r="F15" s="14" t="s">
        <v>52</v>
      </c>
      <c r="G15" s="14">
        <v>8</v>
      </c>
      <c r="H15" s="14" t="s">
        <v>25</v>
      </c>
      <c r="I15" s="14" t="s">
        <v>131</v>
      </c>
      <c r="J15" s="14" t="s">
        <v>129</v>
      </c>
    </row>
    <row r="16" ht="16" customHeight="1" spans="1:10" x14ac:dyDescent="0.25">
      <c r="A16" s="14" t="s">
        <v>26</v>
      </c>
      <c r="B16" s="14" t="s">
        <v>133</v>
      </c>
      <c r="C16" s="14" t="s">
        <v>94</v>
      </c>
      <c r="D16" s="14" t="s">
        <v>134</v>
      </c>
      <c r="E16" s="14" t="s">
        <v>67</v>
      </c>
      <c r="F16" s="14" t="s">
        <v>52</v>
      </c>
      <c r="G16" s="14">
        <v>8</v>
      </c>
      <c r="H16" s="14" t="s">
        <v>13</v>
      </c>
      <c r="I16" s="14" t="s">
        <v>137</v>
      </c>
      <c r="J16" s="14" t="s">
        <v>136</v>
      </c>
    </row>
    <row r="17" ht="32" customHeight="1" spans="1:10" x14ac:dyDescent="0.25">
      <c r="A17" s="14" t="s">
        <v>26</v>
      </c>
      <c r="B17" s="14" t="s">
        <v>139</v>
      </c>
      <c r="C17" s="14" t="s">
        <v>94</v>
      </c>
      <c r="D17" s="14" t="s">
        <v>140</v>
      </c>
      <c r="E17" s="14" t="s">
        <v>67</v>
      </c>
      <c r="F17" s="14" t="s">
        <v>52</v>
      </c>
      <c r="G17" s="14">
        <v>5</v>
      </c>
      <c r="H17" s="14" t="s">
        <v>13</v>
      </c>
      <c r="I17" s="14" t="s">
        <v>143</v>
      </c>
      <c r="J17" s="14" t="s">
        <v>142</v>
      </c>
    </row>
    <row r="18" ht="16" customHeight="1" spans="1:10" x14ac:dyDescent="0.25">
      <c r="A18" s="14" t="s">
        <v>26</v>
      </c>
      <c r="B18" s="14" t="s">
        <v>145</v>
      </c>
      <c r="C18" s="14" t="s">
        <v>146</v>
      </c>
      <c r="D18" s="14" t="s">
        <v>147</v>
      </c>
      <c r="E18" s="14" t="s">
        <v>61</v>
      </c>
      <c r="F18" s="14" t="s">
        <v>71</v>
      </c>
      <c r="G18" s="14">
        <v>5</v>
      </c>
      <c r="H18" s="14" t="s">
        <v>13</v>
      </c>
      <c r="I18" s="14" t="s">
        <v>150</v>
      </c>
      <c r="J18" s="14" t="s">
        <v>149</v>
      </c>
    </row>
    <row r="19" ht="16" customHeight="1" spans="1:10" x14ac:dyDescent="0.25">
      <c r="A19" s="14" t="s">
        <v>26</v>
      </c>
      <c r="B19" s="14" t="s">
        <v>152</v>
      </c>
      <c r="C19" s="14" t="s">
        <v>153</v>
      </c>
      <c r="D19" s="14" t="s">
        <v>154</v>
      </c>
      <c r="E19" s="14" t="s">
        <v>67</v>
      </c>
      <c r="F19" s="14" t="s">
        <v>52</v>
      </c>
      <c r="G19" s="14">
        <v>5</v>
      </c>
      <c r="H19" s="14" t="s">
        <v>13</v>
      </c>
      <c r="I19" s="14" t="s">
        <v>139</v>
      </c>
      <c r="J19" s="14" t="s">
        <v>156</v>
      </c>
    </row>
    <row r="20" ht="16" customHeight="1" spans="1:10" x14ac:dyDescent="0.25">
      <c r="A20" s="14" t="s">
        <v>27</v>
      </c>
      <c r="B20" s="14" t="s">
        <v>158</v>
      </c>
      <c r="C20" s="14" t="s">
        <v>159</v>
      </c>
      <c r="D20" s="14" t="s">
        <v>160</v>
      </c>
      <c r="E20" s="14" t="s">
        <v>86</v>
      </c>
      <c r="F20" s="14" t="s">
        <v>71</v>
      </c>
      <c r="G20" s="14">
        <v>3</v>
      </c>
      <c r="H20" s="14" t="s">
        <v>25</v>
      </c>
      <c r="I20" s="14" t="s">
        <v>125</v>
      </c>
      <c r="J20" s="14" t="s">
        <v>162</v>
      </c>
    </row>
    <row r="21" ht="16" customHeight="1" spans="1:10" x14ac:dyDescent="0.25">
      <c r="A21" s="14" t="s">
        <v>27</v>
      </c>
      <c r="B21" s="14" t="s">
        <v>164</v>
      </c>
      <c r="C21" s="14" t="s">
        <v>159</v>
      </c>
      <c r="D21" s="14" t="s">
        <v>165</v>
      </c>
      <c r="E21" s="14" t="s">
        <v>67</v>
      </c>
      <c r="F21" s="14" t="s">
        <v>71</v>
      </c>
      <c r="G21" s="14">
        <v>5</v>
      </c>
      <c r="H21" s="14" t="s">
        <v>25</v>
      </c>
      <c r="I21" s="14" t="s">
        <v>168</v>
      </c>
      <c r="J21" s="14" t="s">
        <v>167</v>
      </c>
    </row>
    <row r="22" ht="16" customHeight="1" spans="1:10" x14ac:dyDescent="0.25">
      <c r="A22" s="14" t="s">
        <v>27</v>
      </c>
      <c r="B22" s="14" t="s">
        <v>170</v>
      </c>
      <c r="C22" s="14" t="s">
        <v>159</v>
      </c>
      <c r="D22" s="14" t="s">
        <v>171</v>
      </c>
      <c r="E22" s="14" t="s">
        <v>67</v>
      </c>
      <c r="F22" s="14" t="s">
        <v>71</v>
      </c>
      <c r="G22" s="14">
        <v>5</v>
      </c>
      <c r="H22" s="14" t="s">
        <v>25</v>
      </c>
      <c r="I22" s="14" t="s">
        <v>164</v>
      </c>
      <c r="J22" s="14" t="s">
        <v>173</v>
      </c>
    </row>
    <row r="23" ht="16" customHeight="1" spans="1:10" x14ac:dyDescent="0.25">
      <c r="A23" s="14" t="s">
        <v>27</v>
      </c>
      <c r="B23" s="14" t="s">
        <v>175</v>
      </c>
      <c r="C23" s="14" t="s">
        <v>176</v>
      </c>
      <c r="D23" s="14" t="s">
        <v>177</v>
      </c>
      <c r="E23" s="14" t="s">
        <v>67</v>
      </c>
      <c r="F23" s="14" t="s">
        <v>71</v>
      </c>
      <c r="G23" s="14">
        <v>3</v>
      </c>
      <c r="H23" s="14" t="s">
        <v>25</v>
      </c>
      <c r="I23" s="14" t="s">
        <v>180</v>
      </c>
      <c r="J23" s="14" t="s">
        <v>179</v>
      </c>
    </row>
    <row r="24" ht="16" customHeight="1" spans="1:10" x14ac:dyDescent="0.25">
      <c r="A24" s="14" t="s">
        <v>27</v>
      </c>
      <c r="B24" s="14" t="s">
        <v>182</v>
      </c>
      <c r="C24" s="14" t="s">
        <v>176</v>
      </c>
      <c r="D24" s="14" t="s">
        <v>183</v>
      </c>
      <c r="E24" s="14" t="s">
        <v>61</v>
      </c>
      <c r="F24" s="14" t="s">
        <v>184</v>
      </c>
      <c r="G24" s="14">
        <v>5</v>
      </c>
      <c r="H24" s="14" t="s">
        <v>25</v>
      </c>
      <c r="I24" s="14" t="s">
        <v>187</v>
      </c>
      <c r="J24" s="14" t="s">
        <v>186</v>
      </c>
    </row>
    <row r="25" ht="16" customHeight="1" spans="1:10" x14ac:dyDescent="0.25">
      <c r="A25" s="14" t="s">
        <v>27</v>
      </c>
      <c r="B25" s="14" t="s">
        <v>189</v>
      </c>
      <c r="C25" s="14" t="s">
        <v>190</v>
      </c>
      <c r="D25" s="14" t="s">
        <v>191</v>
      </c>
      <c r="E25" s="14" t="s">
        <v>61</v>
      </c>
      <c r="F25" s="14" t="s">
        <v>71</v>
      </c>
      <c r="G25" s="14">
        <v>5</v>
      </c>
      <c r="H25" s="14" t="s">
        <v>25</v>
      </c>
      <c r="I25" s="14" t="s">
        <v>145</v>
      </c>
      <c r="J25" s="14" t="s">
        <v>193</v>
      </c>
    </row>
    <row r="26" ht="16" customHeight="1" spans="1:10" x14ac:dyDescent="0.25">
      <c r="A26" s="14" t="s">
        <v>27</v>
      </c>
      <c r="B26" s="14" t="s">
        <v>195</v>
      </c>
      <c r="C26" s="14" t="s">
        <v>196</v>
      </c>
      <c r="D26" s="14" t="s">
        <v>197</v>
      </c>
      <c r="E26" s="14" t="s">
        <v>200</v>
      </c>
      <c r="F26" s="14" t="s">
        <v>184</v>
      </c>
      <c r="G26" s="14">
        <v>5</v>
      </c>
      <c r="H26" s="14" t="s">
        <v>25</v>
      </c>
      <c r="I26" s="14" t="s">
        <v>201</v>
      </c>
      <c r="J26" s="14" t="s">
        <v>199</v>
      </c>
    </row>
    <row r="27" ht="16" customHeight="1" spans="1:10" x14ac:dyDescent="0.25">
      <c r="A27" s="14" t="s">
        <v>28</v>
      </c>
      <c r="B27" s="14" t="s">
        <v>203</v>
      </c>
      <c r="C27" s="14" t="s">
        <v>204</v>
      </c>
      <c r="D27" s="14" t="s">
        <v>205</v>
      </c>
      <c r="E27" s="14" t="s">
        <v>86</v>
      </c>
      <c r="F27" s="14" t="s">
        <v>52</v>
      </c>
      <c r="G27" s="14">
        <v>5</v>
      </c>
      <c r="H27" s="14" t="s">
        <v>25</v>
      </c>
      <c r="I27" s="14" t="s">
        <v>125</v>
      </c>
      <c r="J27" s="14" t="s">
        <v>207</v>
      </c>
    </row>
    <row r="28" ht="16" customHeight="1" spans="1:10" x14ac:dyDescent="0.25">
      <c r="A28" s="14" t="s">
        <v>28</v>
      </c>
      <c r="B28" s="14" t="s">
        <v>209</v>
      </c>
      <c r="C28" s="14" t="s">
        <v>204</v>
      </c>
      <c r="D28" s="14" t="s">
        <v>210</v>
      </c>
      <c r="E28" s="14" t="s">
        <v>86</v>
      </c>
      <c r="F28" s="14" t="s">
        <v>71</v>
      </c>
      <c r="G28" s="14">
        <v>3</v>
      </c>
      <c r="H28" s="14" t="s">
        <v>25</v>
      </c>
      <c r="I28" s="14" t="s">
        <v>203</v>
      </c>
      <c r="J28" s="14" t="s">
        <v>212</v>
      </c>
    </row>
    <row r="29" ht="16" customHeight="1" spans="1:10" x14ac:dyDescent="0.25">
      <c r="A29" s="14" t="s">
        <v>28</v>
      </c>
      <c r="B29" s="14" t="s">
        <v>214</v>
      </c>
      <c r="C29" s="14" t="s">
        <v>215</v>
      </c>
      <c r="D29" s="14" t="s">
        <v>216</v>
      </c>
      <c r="E29" s="14" t="s">
        <v>67</v>
      </c>
      <c r="F29" s="14" t="s">
        <v>71</v>
      </c>
      <c r="G29" s="14">
        <v>3</v>
      </c>
      <c r="H29" s="14" t="s">
        <v>25</v>
      </c>
      <c r="I29" s="14" t="s">
        <v>203</v>
      </c>
      <c r="J29" s="14" t="s">
        <v>218</v>
      </c>
    </row>
    <row r="30" ht="32" customHeight="1" spans="1:10" x14ac:dyDescent="0.25">
      <c r="A30" s="14" t="s">
        <v>28</v>
      </c>
      <c r="B30" s="14" t="s">
        <v>220</v>
      </c>
      <c r="C30" s="14" t="s">
        <v>215</v>
      </c>
      <c r="D30" s="14" t="s">
        <v>221</v>
      </c>
      <c r="E30" s="14" t="s">
        <v>67</v>
      </c>
      <c r="F30" s="14" t="s">
        <v>52</v>
      </c>
      <c r="G30" s="14">
        <v>8</v>
      </c>
      <c r="H30" s="14" t="s">
        <v>25</v>
      </c>
      <c r="I30" s="14" t="s">
        <v>224</v>
      </c>
      <c r="J30" s="14" t="s">
        <v>223</v>
      </c>
    </row>
    <row r="31" ht="16" customHeight="1" spans="1:10" x14ac:dyDescent="0.25">
      <c r="A31" s="14" t="s">
        <v>28</v>
      </c>
      <c r="B31" s="14" t="s">
        <v>226</v>
      </c>
      <c r="C31" s="14" t="s">
        <v>215</v>
      </c>
      <c r="D31" s="14" t="s">
        <v>227</v>
      </c>
      <c r="E31" s="14" t="s">
        <v>67</v>
      </c>
      <c r="F31" s="14" t="s">
        <v>52</v>
      </c>
      <c r="G31" s="14">
        <v>8</v>
      </c>
      <c r="H31" s="14" t="s">
        <v>25</v>
      </c>
      <c r="I31" s="14" t="s">
        <v>220</v>
      </c>
      <c r="J31" s="14" t="s">
        <v>229</v>
      </c>
    </row>
    <row r="32" ht="16" customHeight="1" spans="1:10" x14ac:dyDescent="0.25">
      <c r="A32" s="14" t="s">
        <v>28</v>
      </c>
      <c r="B32" s="14" t="s">
        <v>231</v>
      </c>
      <c r="C32" s="14" t="s">
        <v>215</v>
      </c>
      <c r="D32" s="14" t="s">
        <v>232</v>
      </c>
      <c r="E32" s="14" t="s">
        <v>67</v>
      </c>
      <c r="F32" s="14" t="s">
        <v>71</v>
      </c>
      <c r="G32" s="14">
        <v>5</v>
      </c>
      <c r="H32" s="14" t="s">
        <v>25</v>
      </c>
      <c r="I32" s="14" t="s">
        <v>226</v>
      </c>
      <c r="J32" s="14" t="s">
        <v>234</v>
      </c>
    </row>
    <row r="33" ht="16" customHeight="1" spans="1:10" x14ac:dyDescent="0.25">
      <c r="A33" s="14" t="s">
        <v>28</v>
      </c>
      <c r="B33" s="14" t="s">
        <v>236</v>
      </c>
      <c r="C33" s="14" t="s">
        <v>215</v>
      </c>
      <c r="D33" s="14" t="s">
        <v>237</v>
      </c>
      <c r="E33" s="14" t="s">
        <v>67</v>
      </c>
      <c r="F33" s="14" t="s">
        <v>52</v>
      </c>
      <c r="G33" s="14">
        <v>8</v>
      </c>
      <c r="H33" s="14" t="s">
        <v>25</v>
      </c>
      <c r="I33" s="14" t="s">
        <v>240</v>
      </c>
      <c r="J33" s="14" t="s">
        <v>239</v>
      </c>
    </row>
    <row r="34" ht="16" customHeight="1" spans="1:10" x14ac:dyDescent="0.25">
      <c r="A34" s="14" t="s">
        <v>28</v>
      </c>
      <c r="B34" s="14" t="s">
        <v>242</v>
      </c>
      <c r="C34" s="14" t="s">
        <v>243</v>
      </c>
      <c r="D34" s="14" t="s">
        <v>244</v>
      </c>
      <c r="E34" s="14" t="s">
        <v>61</v>
      </c>
      <c r="F34" s="14" t="s">
        <v>71</v>
      </c>
      <c r="G34" s="14">
        <v>5</v>
      </c>
      <c r="H34" s="14" t="s">
        <v>25</v>
      </c>
      <c r="I34" s="14" t="s">
        <v>247</v>
      </c>
      <c r="J34" s="14" t="s">
        <v>246</v>
      </c>
    </row>
    <row r="35" ht="16" customHeight="1" spans="1:10" x14ac:dyDescent="0.25">
      <c r="A35" s="14" t="s">
        <v>28</v>
      </c>
      <c r="B35" s="14" t="s">
        <v>249</v>
      </c>
      <c r="C35" s="14" t="s">
        <v>243</v>
      </c>
      <c r="D35" s="14" t="s">
        <v>250</v>
      </c>
      <c r="E35" s="14" t="s">
        <v>61</v>
      </c>
      <c r="F35" s="14" t="s">
        <v>71</v>
      </c>
      <c r="G35" s="14">
        <v>8</v>
      </c>
      <c r="H35" s="14" t="s">
        <v>25</v>
      </c>
      <c r="I35" s="14" t="s">
        <v>253</v>
      </c>
      <c r="J35" s="14" t="s">
        <v>252</v>
      </c>
    </row>
    <row r="36" ht="16" customHeight="1" spans="1:10" x14ac:dyDescent="0.25">
      <c r="A36" s="14" t="s">
        <v>28</v>
      </c>
      <c r="B36" s="14" t="s">
        <v>255</v>
      </c>
      <c r="C36" s="14" t="s">
        <v>243</v>
      </c>
      <c r="D36" s="14" t="s">
        <v>256</v>
      </c>
      <c r="E36" s="14" t="s">
        <v>61</v>
      </c>
      <c r="F36" s="14" t="s">
        <v>71</v>
      </c>
      <c r="G36" s="14">
        <v>5</v>
      </c>
      <c r="H36" s="14" t="s">
        <v>25</v>
      </c>
      <c r="I36" s="14" t="s">
        <v>259</v>
      </c>
      <c r="J36" s="14" t="s">
        <v>258</v>
      </c>
    </row>
    <row r="37" ht="32" customHeight="1" spans="1:10" x14ac:dyDescent="0.25">
      <c r="A37" s="14" t="s">
        <v>30</v>
      </c>
      <c r="B37" s="14" t="s">
        <v>261</v>
      </c>
      <c r="C37" s="14" t="s">
        <v>262</v>
      </c>
      <c r="D37" s="14" t="s">
        <v>263</v>
      </c>
      <c r="E37" s="14" t="s">
        <v>86</v>
      </c>
      <c r="F37" s="14" t="s">
        <v>52</v>
      </c>
      <c r="G37" s="14">
        <v>5</v>
      </c>
      <c r="H37" s="14" t="s">
        <v>25</v>
      </c>
      <c r="I37" s="14" t="s">
        <v>125</v>
      </c>
      <c r="J37" s="14" t="s">
        <v>265</v>
      </c>
    </row>
    <row r="38" ht="16" customHeight="1" spans="1:10" x14ac:dyDescent="0.25">
      <c r="A38" s="14" t="s">
        <v>30</v>
      </c>
      <c r="B38" s="14" t="s">
        <v>267</v>
      </c>
      <c r="C38" s="14" t="s">
        <v>268</v>
      </c>
      <c r="D38" s="14" t="s">
        <v>269</v>
      </c>
      <c r="E38" s="14" t="s">
        <v>67</v>
      </c>
      <c r="F38" s="14" t="s">
        <v>71</v>
      </c>
      <c r="G38" s="14">
        <v>8</v>
      </c>
      <c r="H38" s="14" t="s">
        <v>25</v>
      </c>
      <c r="I38" s="14" t="s">
        <v>272</v>
      </c>
      <c r="J38" s="14" t="s">
        <v>271</v>
      </c>
    </row>
    <row r="39" ht="16" customHeight="1" spans="1:10" x14ac:dyDescent="0.25">
      <c r="A39" s="14" t="s">
        <v>30</v>
      </c>
      <c r="B39" s="14" t="s">
        <v>274</v>
      </c>
      <c r="C39" s="14" t="s">
        <v>268</v>
      </c>
      <c r="D39" s="14" t="s">
        <v>275</v>
      </c>
      <c r="E39" s="14" t="s">
        <v>67</v>
      </c>
      <c r="F39" s="14" t="s">
        <v>71</v>
      </c>
      <c r="G39" s="14">
        <v>5</v>
      </c>
      <c r="H39" s="14" t="s">
        <v>25</v>
      </c>
      <c r="I39" s="14" t="s">
        <v>267</v>
      </c>
      <c r="J39" s="14" t="s">
        <v>277</v>
      </c>
    </row>
    <row r="40" ht="16" customHeight="1" spans="1:10" x14ac:dyDescent="0.25">
      <c r="A40" s="14" t="s">
        <v>30</v>
      </c>
      <c r="B40" s="14" t="s">
        <v>279</v>
      </c>
      <c r="C40" s="14" t="s">
        <v>280</v>
      </c>
      <c r="D40" s="14" t="s">
        <v>281</v>
      </c>
      <c r="E40" s="14" t="s">
        <v>61</v>
      </c>
      <c r="F40" s="14" t="s">
        <v>71</v>
      </c>
      <c r="G40" s="14">
        <v>8</v>
      </c>
      <c r="H40" s="14" t="s">
        <v>25</v>
      </c>
      <c r="I40" s="14" t="s">
        <v>267</v>
      </c>
      <c r="J40" s="14" t="s">
        <v>283</v>
      </c>
    </row>
    <row r="41" ht="16" customHeight="1" spans="1:10" x14ac:dyDescent="0.25">
      <c r="A41" s="14" t="s">
        <v>30</v>
      </c>
      <c r="B41" s="14" t="s">
        <v>285</v>
      </c>
      <c r="C41" s="14" t="s">
        <v>286</v>
      </c>
      <c r="D41" s="14" t="s">
        <v>287</v>
      </c>
      <c r="E41" s="14" t="s">
        <v>86</v>
      </c>
      <c r="F41" s="14" t="s">
        <v>52</v>
      </c>
      <c r="G41" s="14">
        <v>3</v>
      </c>
      <c r="H41" s="14" t="s">
        <v>25</v>
      </c>
      <c r="I41" s="14" t="s">
        <v>290</v>
      </c>
      <c r="J41" s="14" t="s">
        <v>289</v>
      </c>
    </row>
    <row r="42" ht="16" customHeight="1" spans="1:10" x14ac:dyDescent="0.25">
      <c r="A42" s="14" t="s">
        <v>30</v>
      </c>
      <c r="B42" s="14" t="s">
        <v>292</v>
      </c>
      <c r="C42" s="14" t="s">
        <v>286</v>
      </c>
      <c r="D42" s="14" t="s">
        <v>293</v>
      </c>
      <c r="E42" s="14" t="s">
        <v>67</v>
      </c>
      <c r="F42" s="14" t="s">
        <v>71</v>
      </c>
      <c r="G42" s="14">
        <v>8</v>
      </c>
      <c r="H42" s="14" t="s">
        <v>25</v>
      </c>
      <c r="I42" s="14" t="s">
        <v>285</v>
      </c>
      <c r="J42" s="14" t="s">
        <v>295</v>
      </c>
    </row>
    <row r="43" ht="16" customHeight="1" spans="1:10" x14ac:dyDescent="0.25">
      <c r="A43" s="14" t="s">
        <v>30</v>
      </c>
      <c r="B43" s="14" t="s">
        <v>297</v>
      </c>
      <c r="C43" s="14" t="s">
        <v>286</v>
      </c>
      <c r="D43" s="14" t="s">
        <v>298</v>
      </c>
      <c r="E43" s="14" t="s">
        <v>61</v>
      </c>
      <c r="F43" s="14" t="s">
        <v>71</v>
      </c>
      <c r="G43" s="14">
        <v>8</v>
      </c>
      <c r="H43" s="14" t="s">
        <v>25</v>
      </c>
      <c r="I43" s="14" t="s">
        <v>301</v>
      </c>
      <c r="J43" s="14" t="s">
        <v>300</v>
      </c>
    </row>
    <row r="44" ht="16" customHeight="1" spans="1:10" x14ac:dyDescent="0.25">
      <c r="A44" s="14" t="s">
        <v>30</v>
      </c>
      <c r="B44" s="14" t="s">
        <v>303</v>
      </c>
      <c r="C44" s="14" t="s">
        <v>286</v>
      </c>
      <c r="D44" s="14" t="s">
        <v>304</v>
      </c>
      <c r="E44" s="14" t="s">
        <v>61</v>
      </c>
      <c r="F44" s="14" t="s">
        <v>52</v>
      </c>
      <c r="G44" s="14">
        <v>8</v>
      </c>
      <c r="H44" s="14" t="s">
        <v>25</v>
      </c>
      <c r="I44" s="14" t="s">
        <v>307</v>
      </c>
      <c r="J44" s="14" t="s">
        <v>306</v>
      </c>
    </row>
    <row r="45" ht="16" customHeight="1" spans="1:10" x14ac:dyDescent="0.25">
      <c r="A45" s="14" t="s">
        <v>31</v>
      </c>
      <c r="B45" s="14" t="s">
        <v>309</v>
      </c>
      <c r="C45" s="14" t="s">
        <v>310</v>
      </c>
      <c r="D45" s="14" t="s">
        <v>311</v>
      </c>
      <c r="E45" s="14" t="s">
        <v>86</v>
      </c>
      <c r="F45" s="14" t="s">
        <v>71</v>
      </c>
      <c r="G45" s="14">
        <v>3</v>
      </c>
      <c r="H45" s="14" t="s">
        <v>25</v>
      </c>
      <c r="I45" s="14" t="s">
        <v>125</v>
      </c>
      <c r="J45" s="14" t="s">
        <v>313</v>
      </c>
    </row>
    <row r="46" ht="16" customHeight="1" spans="1:10" x14ac:dyDescent="0.25">
      <c r="A46" s="14" t="s">
        <v>31</v>
      </c>
      <c r="B46" s="14" t="s">
        <v>315</v>
      </c>
      <c r="C46" s="14" t="s">
        <v>310</v>
      </c>
      <c r="D46" s="14" t="s">
        <v>316</v>
      </c>
      <c r="E46" s="14" t="s">
        <v>67</v>
      </c>
      <c r="F46" s="14" t="s">
        <v>71</v>
      </c>
      <c r="G46" s="14">
        <v>5</v>
      </c>
      <c r="H46" s="14" t="s">
        <v>25</v>
      </c>
      <c r="I46" s="14" t="s">
        <v>319</v>
      </c>
      <c r="J46" s="14" t="s">
        <v>318</v>
      </c>
    </row>
    <row r="47" ht="16" customHeight="1" spans="1:10" x14ac:dyDescent="0.25">
      <c r="A47" s="14" t="s">
        <v>31</v>
      </c>
      <c r="B47" s="14" t="s">
        <v>321</v>
      </c>
      <c r="C47" s="14" t="s">
        <v>310</v>
      </c>
      <c r="D47" s="14" t="s">
        <v>322</v>
      </c>
      <c r="E47" s="14" t="s">
        <v>67</v>
      </c>
      <c r="F47" s="14" t="s">
        <v>184</v>
      </c>
      <c r="G47" s="14">
        <v>3</v>
      </c>
      <c r="H47" s="14" t="s">
        <v>25</v>
      </c>
      <c r="I47" s="14" t="s">
        <v>315</v>
      </c>
      <c r="J47" s="14" t="s">
        <v>324</v>
      </c>
    </row>
    <row r="48" ht="16" customHeight="1" spans="1:10" x14ac:dyDescent="0.25">
      <c r="A48" s="14" t="s">
        <v>31</v>
      </c>
      <c r="B48" s="14" t="s">
        <v>326</v>
      </c>
      <c r="C48" s="14" t="s">
        <v>310</v>
      </c>
      <c r="D48" s="14" t="s">
        <v>327</v>
      </c>
      <c r="E48" s="14" t="s">
        <v>61</v>
      </c>
      <c r="F48" s="14" t="s">
        <v>184</v>
      </c>
      <c r="G48" s="14">
        <v>5</v>
      </c>
      <c r="H48" s="14" t="s">
        <v>25</v>
      </c>
      <c r="I48" s="14" t="s">
        <v>330</v>
      </c>
      <c r="J48" s="14" t="s">
        <v>329</v>
      </c>
    </row>
    <row r="49" ht="16" customHeight="1" spans="1:10" x14ac:dyDescent="0.25">
      <c r="A49" s="14" t="s">
        <v>31</v>
      </c>
      <c r="B49" s="14" t="s">
        <v>332</v>
      </c>
      <c r="C49" s="14" t="s">
        <v>333</v>
      </c>
      <c r="D49" s="14" t="s">
        <v>334</v>
      </c>
      <c r="E49" s="14" t="s">
        <v>61</v>
      </c>
      <c r="F49" s="14" t="s">
        <v>71</v>
      </c>
      <c r="G49" s="14">
        <v>5</v>
      </c>
      <c r="H49" s="14" t="s">
        <v>25</v>
      </c>
      <c r="I49" s="14" t="s">
        <v>337</v>
      </c>
      <c r="J49" s="14" t="s">
        <v>336</v>
      </c>
    </row>
    <row r="50" ht="16" customHeight="1" spans="1:10" x14ac:dyDescent="0.25">
      <c r="A50" s="14" t="s">
        <v>31</v>
      </c>
      <c r="B50" s="14" t="s">
        <v>339</v>
      </c>
      <c r="C50" s="14" t="s">
        <v>333</v>
      </c>
      <c r="D50" s="14" t="s">
        <v>340</v>
      </c>
      <c r="E50" s="14" t="s">
        <v>61</v>
      </c>
      <c r="F50" s="14" t="s">
        <v>71</v>
      </c>
      <c r="G50" s="14">
        <v>5</v>
      </c>
      <c r="H50" s="14" t="s">
        <v>25</v>
      </c>
      <c r="I50" s="14" t="s">
        <v>303</v>
      </c>
      <c r="J50" s="14" t="s">
        <v>342</v>
      </c>
    </row>
    <row r="51" ht="16" customHeight="1" spans="1:10" x14ac:dyDescent="0.25">
      <c r="A51" s="14" t="s">
        <v>31</v>
      </c>
      <c r="B51" s="14" t="s">
        <v>344</v>
      </c>
      <c r="C51" s="14" t="s">
        <v>345</v>
      </c>
      <c r="D51" s="14" t="s">
        <v>346</v>
      </c>
      <c r="E51" s="14" t="s">
        <v>67</v>
      </c>
      <c r="F51" s="14" t="s">
        <v>184</v>
      </c>
      <c r="G51" s="14">
        <v>5</v>
      </c>
      <c r="H51" s="14" t="s">
        <v>25</v>
      </c>
      <c r="I51" s="14" t="s">
        <v>226</v>
      </c>
      <c r="J51" s="14" t="s">
        <v>348</v>
      </c>
    </row>
    <row r="52" ht="16" customHeight="1" spans="1:10" x14ac:dyDescent="0.25">
      <c r="A52" s="14" t="s">
        <v>31</v>
      </c>
      <c r="B52" s="14" t="s">
        <v>350</v>
      </c>
      <c r="C52" s="14" t="s">
        <v>345</v>
      </c>
      <c r="D52" s="14" t="s">
        <v>351</v>
      </c>
      <c r="E52" s="14" t="s">
        <v>61</v>
      </c>
      <c r="F52" s="14" t="s">
        <v>184</v>
      </c>
      <c r="G52" s="14">
        <v>3</v>
      </c>
      <c r="H52" s="14" t="s">
        <v>25</v>
      </c>
      <c r="I52" s="14" t="s">
        <v>354</v>
      </c>
      <c r="J52" s="14" t="s">
        <v>353</v>
      </c>
    </row>
    <row r="53" ht="16" customHeight="1" spans="1:10" x14ac:dyDescent="0.25">
      <c r="A53" s="14" t="s">
        <v>32</v>
      </c>
      <c r="B53" s="14" t="s">
        <v>356</v>
      </c>
      <c r="C53" s="14" t="s">
        <v>357</v>
      </c>
      <c r="D53" s="14" t="s">
        <v>358</v>
      </c>
      <c r="E53" s="14" t="s">
        <v>86</v>
      </c>
      <c r="F53" s="14" t="s">
        <v>71</v>
      </c>
      <c r="G53" s="14">
        <v>5</v>
      </c>
      <c r="H53" s="14" t="s">
        <v>25</v>
      </c>
      <c r="I53" s="14" t="s">
        <v>361</v>
      </c>
      <c r="J53" s="14" t="s">
        <v>360</v>
      </c>
    </row>
    <row r="54" ht="16" customHeight="1" spans="1:10" x14ac:dyDescent="0.25">
      <c r="A54" s="14" t="s">
        <v>32</v>
      </c>
      <c r="B54" s="14" t="s">
        <v>363</v>
      </c>
      <c r="C54" s="14" t="s">
        <v>357</v>
      </c>
      <c r="D54" s="14" t="s">
        <v>364</v>
      </c>
      <c r="E54" s="14" t="s">
        <v>86</v>
      </c>
      <c r="F54" s="14" t="s">
        <v>184</v>
      </c>
      <c r="G54" s="14">
        <v>5</v>
      </c>
      <c r="H54" s="14" t="s">
        <v>25</v>
      </c>
      <c r="I54" s="14" t="s">
        <v>356</v>
      </c>
      <c r="J54" s="14" t="s">
        <v>366</v>
      </c>
    </row>
    <row r="55" ht="32" customHeight="1" spans="1:10" x14ac:dyDescent="0.25">
      <c r="A55" s="14" t="s">
        <v>32</v>
      </c>
      <c r="B55" s="14" t="s">
        <v>368</v>
      </c>
      <c r="C55" s="14" t="s">
        <v>130</v>
      </c>
      <c r="D55" s="14" t="s">
        <v>369</v>
      </c>
      <c r="E55" s="14" t="s">
        <v>130</v>
      </c>
      <c r="F55" s="14" t="s">
        <v>52</v>
      </c>
      <c r="G55" s="14">
        <v>8</v>
      </c>
      <c r="H55" s="14" t="s">
        <v>25</v>
      </c>
      <c r="I55" s="14" t="s">
        <v>372</v>
      </c>
      <c r="J55" s="14" t="s">
        <v>371</v>
      </c>
    </row>
    <row r="56" ht="16" customHeight="1" spans="1:10" x14ac:dyDescent="0.25">
      <c r="A56" s="14" t="s">
        <v>32</v>
      </c>
      <c r="B56" s="14" t="s">
        <v>374</v>
      </c>
      <c r="C56" s="14" t="s">
        <v>375</v>
      </c>
      <c r="D56" s="14" t="s">
        <v>376</v>
      </c>
      <c r="E56" s="14" t="s">
        <v>379</v>
      </c>
      <c r="F56" s="14" t="s">
        <v>71</v>
      </c>
      <c r="G56" s="14">
        <v>8</v>
      </c>
      <c r="H56" s="14" t="s">
        <v>25</v>
      </c>
      <c r="I56" s="14" t="s">
        <v>380</v>
      </c>
      <c r="J56" s="14" t="s">
        <v>378</v>
      </c>
    </row>
    <row r="57" ht="16" customHeight="1" spans="1:10" x14ac:dyDescent="0.25">
      <c r="A57" s="14" t="s">
        <v>32</v>
      </c>
      <c r="B57" s="14" t="s">
        <v>382</v>
      </c>
      <c r="C57" s="14" t="s">
        <v>375</v>
      </c>
      <c r="D57" s="14" t="s">
        <v>383</v>
      </c>
      <c r="E57" s="14" t="s">
        <v>379</v>
      </c>
      <c r="F57" s="14" t="s">
        <v>71</v>
      </c>
      <c r="G57" s="14">
        <v>8</v>
      </c>
      <c r="H57" s="14" t="s">
        <v>25</v>
      </c>
      <c r="I57" s="14" t="s">
        <v>386</v>
      </c>
      <c r="J57" s="14" t="s">
        <v>385</v>
      </c>
    </row>
    <row r="58" ht="16" customHeight="1" spans="1:10" x14ac:dyDescent="0.25">
      <c r="A58" s="14" t="s">
        <v>32</v>
      </c>
      <c r="B58" s="14" t="s">
        <v>388</v>
      </c>
      <c r="C58" s="14" t="s">
        <v>375</v>
      </c>
      <c r="D58" s="14" t="s">
        <v>389</v>
      </c>
      <c r="E58" s="14" t="s">
        <v>379</v>
      </c>
      <c r="F58" s="14" t="s">
        <v>184</v>
      </c>
      <c r="G58" s="14">
        <v>5</v>
      </c>
      <c r="H58" s="14" t="s">
        <v>25</v>
      </c>
      <c r="I58" s="14" t="s">
        <v>392</v>
      </c>
      <c r="J58" s="14" t="s">
        <v>391</v>
      </c>
    </row>
    <row r="59" ht="16" customHeight="1" spans="1:10" x14ac:dyDescent="0.25">
      <c r="A59" s="14" t="s">
        <v>32</v>
      </c>
      <c r="B59" s="14" t="s">
        <v>394</v>
      </c>
      <c r="C59" s="14" t="s">
        <v>375</v>
      </c>
      <c r="D59" s="14" t="s">
        <v>395</v>
      </c>
      <c r="E59" s="14" t="s">
        <v>379</v>
      </c>
      <c r="F59" s="14" t="s">
        <v>71</v>
      </c>
      <c r="G59" s="14">
        <v>8</v>
      </c>
      <c r="H59" s="14" t="s">
        <v>25</v>
      </c>
      <c r="I59" s="14" t="s">
        <v>398</v>
      </c>
      <c r="J59" s="14" t="s">
        <v>397</v>
      </c>
    </row>
    <row r="60" ht="16" customHeight="1" spans="1:10" x14ac:dyDescent="0.25">
      <c r="A60" s="14" t="s">
        <v>33</v>
      </c>
      <c r="B60" s="14" t="s">
        <v>400</v>
      </c>
      <c r="C60" s="14" t="s">
        <v>401</v>
      </c>
      <c r="D60" s="14" t="s">
        <v>402</v>
      </c>
      <c r="E60" s="14" t="s">
        <v>55</v>
      </c>
      <c r="F60" s="14" t="s">
        <v>71</v>
      </c>
      <c r="G60" s="14">
        <v>5</v>
      </c>
      <c r="H60" s="14" t="s">
        <v>25</v>
      </c>
      <c r="I60" s="14" t="s">
        <v>405</v>
      </c>
      <c r="J60" s="14" t="s">
        <v>404</v>
      </c>
    </row>
    <row r="61" ht="16" customHeight="1" spans="1:10" x14ac:dyDescent="0.25">
      <c r="A61" s="14" t="s">
        <v>33</v>
      </c>
      <c r="B61" s="14" t="s">
        <v>407</v>
      </c>
      <c r="C61" s="14" t="s">
        <v>401</v>
      </c>
      <c r="D61" s="14" t="s">
        <v>408</v>
      </c>
      <c r="E61" s="14" t="s">
        <v>55</v>
      </c>
      <c r="F61" s="14" t="s">
        <v>71</v>
      </c>
      <c r="G61" s="14">
        <v>3</v>
      </c>
      <c r="H61" s="14" t="s">
        <v>25</v>
      </c>
      <c r="I61" s="14" t="s">
        <v>400</v>
      </c>
      <c r="J61" s="14" t="s">
        <v>410</v>
      </c>
    </row>
    <row r="62" ht="16" customHeight="1" spans="1:10" x14ac:dyDescent="0.25">
      <c r="A62" s="14" t="s">
        <v>33</v>
      </c>
      <c r="B62" s="14" t="s">
        <v>412</v>
      </c>
      <c r="C62" s="14" t="s">
        <v>401</v>
      </c>
      <c r="D62" s="14" t="s">
        <v>413</v>
      </c>
      <c r="E62" s="14" t="s">
        <v>55</v>
      </c>
      <c r="F62" s="14" t="s">
        <v>71</v>
      </c>
      <c r="G62" s="14">
        <v>5</v>
      </c>
      <c r="H62" s="14" t="s">
        <v>25</v>
      </c>
      <c r="I62" s="14" t="s">
        <v>400</v>
      </c>
      <c r="J62" s="14" t="s">
        <v>415</v>
      </c>
    </row>
    <row r="63" ht="16" customHeight="1" spans="1:10" x14ac:dyDescent="0.25">
      <c r="A63" s="14" t="s">
        <v>33</v>
      </c>
      <c r="B63" s="14" t="s">
        <v>417</v>
      </c>
      <c r="C63" s="14" t="s">
        <v>401</v>
      </c>
      <c r="D63" s="14" t="s">
        <v>418</v>
      </c>
      <c r="E63" s="14" t="s">
        <v>55</v>
      </c>
      <c r="F63" s="14" t="s">
        <v>52</v>
      </c>
      <c r="G63" s="14">
        <v>5</v>
      </c>
      <c r="H63" s="14" t="s">
        <v>25</v>
      </c>
      <c r="I63" s="14" t="s">
        <v>421</v>
      </c>
      <c r="J63" s="14" t="s">
        <v>420</v>
      </c>
    </row>
    <row r="64" ht="16" customHeight="1" spans="1:10" x14ac:dyDescent="0.25">
      <c r="A64" s="14" t="s">
        <v>33</v>
      </c>
      <c r="B64" s="14" t="s">
        <v>423</v>
      </c>
      <c r="C64" s="14" t="s">
        <v>401</v>
      </c>
      <c r="D64" s="14" t="s">
        <v>424</v>
      </c>
      <c r="E64" s="14" t="s">
        <v>55</v>
      </c>
      <c r="F64" s="14" t="s">
        <v>71</v>
      </c>
      <c r="G64" s="14">
        <v>3</v>
      </c>
      <c r="H64" s="14" t="s">
        <v>25</v>
      </c>
      <c r="I64" s="14" t="s">
        <v>427</v>
      </c>
      <c r="J64" s="14" t="s">
        <v>426</v>
      </c>
    </row>
    <row r="65" ht="16" customHeight="1" spans="1:10" x14ac:dyDescent="0.25">
      <c r="A65" s="14" t="s">
        <v>33</v>
      </c>
      <c r="B65" s="14" t="s">
        <v>429</v>
      </c>
      <c r="C65" s="14" t="s">
        <v>430</v>
      </c>
      <c r="D65" s="14" t="s">
        <v>431</v>
      </c>
      <c r="E65" s="14" t="s">
        <v>434</v>
      </c>
      <c r="F65" s="14" t="s">
        <v>71</v>
      </c>
      <c r="G65" s="14">
        <v>3</v>
      </c>
      <c r="H65" s="14" t="s">
        <v>25</v>
      </c>
      <c r="I65" s="14" t="s">
        <v>435</v>
      </c>
      <c r="J65" s="14" t="s">
        <v>433</v>
      </c>
    </row>
    <row r="66" ht="16" customHeight="1" spans="1:10" x14ac:dyDescent="0.25">
      <c r="A66" s="14" t="s">
        <v>33</v>
      </c>
      <c r="B66" s="14" t="s">
        <v>437</v>
      </c>
      <c r="C66" s="14" t="s">
        <v>430</v>
      </c>
      <c r="D66" s="14" t="s">
        <v>438</v>
      </c>
      <c r="E66" s="14" t="s">
        <v>434</v>
      </c>
      <c r="F66" s="14" t="s">
        <v>184</v>
      </c>
      <c r="G66" s="14">
        <v>3</v>
      </c>
      <c r="H66" s="14" t="s">
        <v>25</v>
      </c>
      <c r="I66" s="14" t="s">
        <v>429</v>
      </c>
      <c r="J66" s="14" t="s">
        <v>440</v>
      </c>
    </row>
    <row r="67" ht="32" customHeight="1" spans="1:10" x14ac:dyDescent="0.25">
      <c r="A67" s="14" t="s">
        <v>34</v>
      </c>
      <c r="B67" s="14" t="s">
        <v>442</v>
      </c>
      <c r="C67" s="14" t="s">
        <v>443</v>
      </c>
      <c r="D67" s="14" t="s">
        <v>444</v>
      </c>
      <c r="E67" s="14" t="s">
        <v>434</v>
      </c>
      <c r="F67" s="14" t="s">
        <v>184</v>
      </c>
      <c r="G67" s="14">
        <v>3</v>
      </c>
      <c r="H67" s="14" t="s">
        <v>25</v>
      </c>
      <c r="I67" s="14" t="s">
        <v>429</v>
      </c>
      <c r="J67" s="14" t="s">
        <v>446</v>
      </c>
    </row>
    <row r="68" ht="16" customHeight="1" spans="1:10" x14ac:dyDescent="0.25">
      <c r="A68" s="14" t="s">
        <v>34</v>
      </c>
      <c r="B68" s="14" t="s">
        <v>448</v>
      </c>
      <c r="C68" s="14" t="s">
        <v>443</v>
      </c>
      <c r="D68" s="14" t="s">
        <v>449</v>
      </c>
      <c r="E68" s="14" t="s">
        <v>86</v>
      </c>
      <c r="F68" s="14" t="s">
        <v>184</v>
      </c>
      <c r="G68" s="14">
        <v>5</v>
      </c>
      <c r="H68" s="14" t="s">
        <v>25</v>
      </c>
      <c r="I68" s="14" t="s">
        <v>442</v>
      </c>
      <c r="J68" s="14" t="s">
        <v>451</v>
      </c>
    </row>
    <row r="69" ht="16" customHeight="1" spans="1:10" x14ac:dyDescent="0.25">
      <c r="A69" s="14" t="s">
        <v>34</v>
      </c>
      <c r="B69" s="14" t="s">
        <v>453</v>
      </c>
      <c r="C69" s="14" t="s">
        <v>443</v>
      </c>
      <c r="D69" s="14" t="s">
        <v>454</v>
      </c>
      <c r="E69" s="14" t="s">
        <v>61</v>
      </c>
      <c r="F69" s="14" t="s">
        <v>184</v>
      </c>
      <c r="G69" s="14">
        <v>5</v>
      </c>
      <c r="H69" s="14" t="s">
        <v>25</v>
      </c>
      <c r="I69" s="14" t="s">
        <v>457</v>
      </c>
      <c r="J69" s="14" t="s">
        <v>456</v>
      </c>
    </row>
    <row r="70" ht="16" customHeight="1" spans="1:10" x14ac:dyDescent="0.25">
      <c r="A70" s="14" t="s">
        <v>34</v>
      </c>
      <c r="B70" s="14" t="s">
        <v>459</v>
      </c>
      <c r="C70" s="14" t="s">
        <v>460</v>
      </c>
      <c r="D70" s="14" t="s">
        <v>461</v>
      </c>
      <c r="E70" s="14" t="s">
        <v>200</v>
      </c>
      <c r="F70" s="14" t="s">
        <v>462</v>
      </c>
      <c r="G70" s="14">
        <v>8</v>
      </c>
      <c r="H70" s="14" t="s">
        <v>25</v>
      </c>
      <c r="I70" s="14" t="s">
        <v>465</v>
      </c>
      <c r="J70" s="14" t="s">
        <v>464</v>
      </c>
    </row>
    <row r="71" ht="16" customHeight="1" spans="1:10" x14ac:dyDescent="0.25">
      <c r="A71" s="14" t="s">
        <v>34</v>
      </c>
      <c r="B71" s="14" t="s">
        <v>467</v>
      </c>
      <c r="C71" s="14" t="s">
        <v>460</v>
      </c>
      <c r="D71" s="14" t="s">
        <v>468</v>
      </c>
      <c r="E71" s="14" t="s">
        <v>200</v>
      </c>
      <c r="F71" s="14" t="s">
        <v>462</v>
      </c>
      <c r="G71" s="14">
        <v>5</v>
      </c>
      <c r="H71" s="14" t="s">
        <v>25</v>
      </c>
      <c r="I71" s="14" t="s">
        <v>471</v>
      </c>
      <c r="J71" s="14" t="s">
        <v>470</v>
      </c>
    </row>
    <row r="72" ht="32" customHeight="1" spans="1:10" x14ac:dyDescent="0.25">
      <c r="A72" s="14" t="s">
        <v>477</v>
      </c>
      <c r="B72" s="14" t="s">
        <v>472</v>
      </c>
      <c r="C72" s="14" t="s">
        <v>473</v>
      </c>
      <c r="D72" s="14" t="s">
        <v>474</v>
      </c>
      <c r="E72" s="14" t="s">
        <v>55</v>
      </c>
      <c r="F72" s="14" t="s">
        <v>71</v>
      </c>
      <c r="G72" s="14">
        <v>3</v>
      </c>
      <c r="H72" s="14" t="s">
        <v>14</v>
      </c>
      <c r="I72" s="14" t="s">
        <v>478</v>
      </c>
      <c r="J72" s="14" t="s">
        <v>502</v>
      </c>
    </row>
    <row r="73" ht="32" customHeight="1" spans="1:10" x14ac:dyDescent="0.25">
      <c r="A73" s="14" t="s">
        <v>477</v>
      </c>
      <c r="B73" s="14" t="s">
        <v>481</v>
      </c>
      <c r="C73" s="14" t="s">
        <v>473</v>
      </c>
      <c r="D73" s="14" t="s">
        <v>482</v>
      </c>
      <c r="E73" s="14" t="s">
        <v>55</v>
      </c>
      <c r="F73" s="14" t="s">
        <v>71</v>
      </c>
      <c r="G73" s="14">
        <v>3</v>
      </c>
      <c r="H73" s="14" t="s">
        <v>13</v>
      </c>
      <c r="I73" s="14" t="s">
        <v>472</v>
      </c>
      <c r="J73" s="14" t="s">
        <v>503</v>
      </c>
    </row>
    <row r="74" ht="48" customHeight="1" spans="1:10" x14ac:dyDescent="0.25">
      <c r="A74" s="14" t="s">
        <v>477</v>
      </c>
      <c r="B74" s="14" t="s">
        <v>487</v>
      </c>
      <c r="C74" s="14" t="s">
        <v>473</v>
      </c>
      <c r="D74" s="14" t="s">
        <v>488</v>
      </c>
      <c r="E74" s="14" t="s">
        <v>55</v>
      </c>
      <c r="F74" s="14" t="s">
        <v>71</v>
      </c>
      <c r="G74" s="14">
        <v>5</v>
      </c>
      <c r="H74" s="14" t="s">
        <v>13</v>
      </c>
      <c r="I74" s="14" t="s">
        <v>491</v>
      </c>
      <c r="J74" s="14" t="s">
        <v>504</v>
      </c>
    </row>
    <row r="75" ht="210" customHeight="1" spans="1:10" x14ac:dyDescent="0.25">
      <c r="A75" s="14" t="s">
        <v>498</v>
      </c>
      <c r="B75" s="14" t="s">
        <v>494</v>
      </c>
      <c r="C75" s="14" t="s">
        <v>82</v>
      </c>
      <c r="D75" s="14" t="s">
        <v>495</v>
      </c>
      <c r="E75" s="14" t="s">
        <v>86</v>
      </c>
      <c r="F75" s="14" t="s">
        <v>52</v>
      </c>
      <c r="G75" s="14">
        <v>8</v>
      </c>
      <c r="H75" s="14" t="s">
        <v>25</v>
      </c>
      <c r="I75" s="14" t="s">
        <v>499</v>
      </c>
      <c r="J75" s="14" t="s">
        <v>497</v>
      </c>
    </row>
  </sheetData>
  <autoFilter ref="A1:J75"/>
  <conditionalFormatting sqref="H2:H75">
    <cfRule type="expression" dxfId="5" priority="1">
      <formula>$H2="Done"</formula>
    </cfRule>
    <cfRule type="expression" dxfId="6" priority="2">
      <formula>$H2="In Progress"</formula>
    </cfRule>
    <cfRule type="expression" dxfId="7" priority="3">
      <formula>$H2="Blocked"</formula>
    </cfRule>
    <cfRule type="expression" dxfId="8" priority="4">
      <formula>$H2="Review"</formula>
    </cfRule>
    <cfRule type="expression" dxfId="9" priority="5">
      <formula>$H2="Todo"</formula>
    </cfRule>
  </conditionalFormatting>
  <dataValidations count="2">
    <dataValidation type="list" allowBlank="1" sqref="H10:H75">
      <formula1>"Todo,In Progress,Blocked,Review,Done"</formula1>
    </dataValidation>
    <dataValidation type="list" allowBlank="1" sqref="H2:H75">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X7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ht="32" customHeight="1" spans="1:50" x14ac:dyDescent="0.25">
      <c r="A1" s="10" t="s">
        <v>35</v>
      </c>
      <c r="B1" s="10" t="s">
        <v>37</v>
      </c>
      <c r="C1" s="10" t="s">
        <v>18</v>
      </c>
      <c r="D1" s="10" t="s">
        <v>505</v>
      </c>
      <c r="E1" s="10" t="s">
        <v>506</v>
      </c>
      <c r="F1" s="10" t="s">
        <v>507</v>
      </c>
      <c r="G1" s="10" t="s">
        <v>22</v>
      </c>
      <c r="H1" s="10" t="s">
        <v>46</v>
      </c>
      <c r="I1" s="10" t="s">
        <v>508</v>
      </c>
      <c r="J1" s="10" t="s">
        <v>509</v>
      </c>
      <c r="K1" s="10" t="s">
        <v>510</v>
      </c>
      <c r="L1" s="10" t="s">
        <v>511</v>
      </c>
      <c r="M1" s="10" t="s">
        <v>512</v>
      </c>
      <c r="N1" s="10" t="s">
        <v>513</v>
      </c>
      <c r="O1" s="10" t="s">
        <v>514</v>
      </c>
      <c r="P1" s="10" t="s">
        <v>515</v>
      </c>
      <c r="Q1" s="10" t="s">
        <v>516</v>
      </c>
      <c r="R1" s="10" t="s">
        <v>517</v>
      </c>
      <c r="S1" s="10" t="s">
        <v>518</v>
      </c>
      <c r="T1" s="10" t="s">
        <v>519</v>
      </c>
      <c r="U1" s="10" t="s">
        <v>520</v>
      </c>
      <c r="V1" s="10" t="s">
        <v>521</v>
      </c>
      <c r="W1" s="10" t="s">
        <v>522</v>
      </c>
      <c r="X1" s="10" t="s">
        <v>523</v>
      </c>
      <c r="Y1" s="10" t="s">
        <v>524</v>
      </c>
      <c r="Z1" s="10" t="s">
        <v>525</v>
      </c>
      <c r="AA1" s="10" t="s">
        <v>526</v>
      </c>
      <c r="AB1" s="10" t="s">
        <v>527</v>
      </c>
      <c r="AC1" s="10" t="s">
        <v>528</v>
      </c>
      <c r="AD1" s="10" t="s">
        <v>529</v>
      </c>
      <c r="AE1" s="10" t="s">
        <v>530</v>
      </c>
      <c r="AF1" s="10" t="s">
        <v>531</v>
      </c>
      <c r="AG1" s="10" t="s">
        <v>532</v>
      </c>
      <c r="AH1" s="10" t="s">
        <v>533</v>
      </c>
      <c r="AI1" s="10" t="s">
        <v>534</v>
      </c>
      <c r="AJ1" s="10" t="s">
        <v>535</v>
      </c>
      <c r="AK1" s="10" t="s">
        <v>536</v>
      </c>
      <c r="AL1" s="10" t="s">
        <v>537</v>
      </c>
      <c r="AM1" s="10" t="s">
        <v>538</v>
      </c>
      <c r="AN1" s="10" t="s">
        <v>539</v>
      </c>
      <c r="AO1" s="10" t="s">
        <v>540</v>
      </c>
      <c r="AP1" s="10" t="s">
        <v>541</v>
      </c>
      <c r="AQ1" s="10" t="s">
        <v>542</v>
      </c>
      <c r="AR1" s="10" t="s">
        <v>543</v>
      </c>
      <c r="AS1" s="10" t="s">
        <v>544</v>
      </c>
      <c r="AT1" s="10" t="s">
        <v>545</v>
      </c>
      <c r="AU1" s="10" t="s">
        <v>546</v>
      </c>
      <c r="AV1" s="10" t="s">
        <v>547</v>
      </c>
      <c r="AW1" s="10" t="s">
        <v>548</v>
      </c>
      <c r="AX1" s="10" t="s">
        <v>549</v>
      </c>
    </row>
    <row r="2" ht="16" customHeight="1" spans="1:50" x14ac:dyDescent="0.25">
      <c r="A2" s="14" t="s">
        <v>49</v>
      </c>
      <c r="B2" s="14" t="s">
        <v>51</v>
      </c>
      <c r="C2" s="14" t="s">
        <v>24</v>
      </c>
      <c r="D2" s="16">
        <v>46153</v>
      </c>
      <c r="E2" s="16">
        <v>46153</v>
      </c>
      <c r="F2" s="14">
        <v>1</v>
      </c>
      <c r="G2" s="14" t="s">
        <v>25</v>
      </c>
      <c r="H2" s="14"/>
      <c r="I2" s="17" t="s">
        <v>550</v>
      </c>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row>
    <row r="3" ht="16" customHeight="1" spans="1:50" x14ac:dyDescent="0.25">
      <c r="A3" s="14" t="s">
        <v>57</v>
      </c>
      <c r="B3" s="14" t="s">
        <v>58</v>
      </c>
      <c r="C3" s="14" t="s">
        <v>24</v>
      </c>
      <c r="D3" s="16">
        <v>46153</v>
      </c>
      <c r="E3" s="16">
        <v>46154</v>
      </c>
      <c r="F3" s="14">
        <v>2</v>
      </c>
      <c r="G3" s="14" t="s">
        <v>25</v>
      </c>
      <c r="H3" s="14" t="s">
        <v>49</v>
      </c>
      <c r="I3" s="17" t="s">
        <v>550</v>
      </c>
      <c r="J3" s="17" t="s">
        <v>550</v>
      </c>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c r="AM3" s="14"/>
      <c r="AN3" s="14"/>
      <c r="AO3" s="14"/>
      <c r="AP3" s="14"/>
      <c r="AQ3" s="14"/>
      <c r="AR3" s="14"/>
      <c r="AS3" s="14"/>
      <c r="AT3" s="14"/>
      <c r="AU3" s="14"/>
      <c r="AV3" s="14"/>
      <c r="AW3" s="14"/>
      <c r="AX3" s="14"/>
    </row>
    <row r="4" ht="16" customHeight="1" spans="1:50" x14ac:dyDescent="0.25">
      <c r="A4" s="14" t="s">
        <v>63</v>
      </c>
      <c r="B4" s="14" t="s">
        <v>64</v>
      </c>
      <c r="C4" s="14" t="s">
        <v>24</v>
      </c>
      <c r="D4" s="16">
        <v>46153</v>
      </c>
      <c r="E4" s="16">
        <v>46154</v>
      </c>
      <c r="F4" s="14">
        <v>2</v>
      </c>
      <c r="G4" s="14" t="s">
        <v>25</v>
      </c>
      <c r="H4" s="14" t="s">
        <v>49</v>
      </c>
      <c r="I4" s="17" t="s">
        <v>550</v>
      </c>
      <c r="J4" s="17" t="s">
        <v>550</v>
      </c>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P4" s="14"/>
      <c r="AQ4" s="14"/>
      <c r="AR4" s="14"/>
      <c r="AS4" s="14"/>
      <c r="AT4" s="14"/>
      <c r="AU4" s="14"/>
      <c r="AV4" s="14"/>
      <c r="AW4" s="14"/>
      <c r="AX4" s="14"/>
    </row>
    <row r="5" ht="16" customHeight="1" spans="1:50" x14ac:dyDescent="0.25">
      <c r="A5" s="14" t="s">
        <v>69</v>
      </c>
      <c r="B5" s="14" t="s">
        <v>70</v>
      </c>
      <c r="C5" s="14" t="s">
        <v>24</v>
      </c>
      <c r="D5" s="16">
        <v>46154</v>
      </c>
      <c r="E5" s="16">
        <v>46154</v>
      </c>
      <c r="F5" s="14">
        <v>1</v>
      </c>
      <c r="G5" s="14" t="s">
        <v>25</v>
      </c>
      <c r="H5" s="14" t="s">
        <v>74</v>
      </c>
      <c r="I5" s="14"/>
      <c r="J5" s="17" t="s">
        <v>550</v>
      </c>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row>
    <row r="6" ht="16" customHeight="1" spans="1:50" x14ac:dyDescent="0.25">
      <c r="A6" s="14" t="s">
        <v>76</v>
      </c>
      <c r="B6" s="14" t="s">
        <v>77</v>
      </c>
      <c r="C6" s="14" t="s">
        <v>24</v>
      </c>
      <c r="D6" s="16">
        <v>46154</v>
      </c>
      <c r="E6" s="16">
        <v>46154</v>
      </c>
      <c r="F6" s="14">
        <v>1</v>
      </c>
      <c r="G6" s="14" t="s">
        <v>25</v>
      </c>
      <c r="H6" s="14" t="s">
        <v>74</v>
      </c>
      <c r="I6" s="14"/>
      <c r="J6" s="17" t="s">
        <v>550</v>
      </c>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row>
    <row r="7" ht="16" customHeight="1" spans="1:50" x14ac:dyDescent="0.25">
      <c r="A7" s="14" t="s">
        <v>81</v>
      </c>
      <c r="B7" s="14" t="s">
        <v>83</v>
      </c>
      <c r="C7" s="14" t="s">
        <v>24</v>
      </c>
      <c r="D7" s="16">
        <v>46155</v>
      </c>
      <c r="E7" s="16">
        <v>46155</v>
      </c>
      <c r="F7" s="14">
        <v>1</v>
      </c>
      <c r="G7" s="14" t="s">
        <v>25</v>
      </c>
      <c r="H7" s="14" t="s">
        <v>69</v>
      </c>
      <c r="I7" s="14"/>
      <c r="J7" s="14"/>
      <c r="K7" s="17" t="s">
        <v>550</v>
      </c>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row>
    <row r="8" ht="16" customHeight="1" spans="1:50" x14ac:dyDescent="0.25">
      <c r="A8" s="14" t="s">
        <v>88</v>
      </c>
      <c r="B8" s="14" t="s">
        <v>89</v>
      </c>
      <c r="C8" s="14" t="s">
        <v>24</v>
      </c>
      <c r="D8" s="16">
        <v>46155</v>
      </c>
      <c r="E8" s="16">
        <v>46156</v>
      </c>
      <c r="F8" s="14">
        <v>2</v>
      </c>
      <c r="G8" s="14" t="s">
        <v>25</v>
      </c>
      <c r="H8" s="14" t="s">
        <v>81</v>
      </c>
      <c r="I8" s="14"/>
      <c r="J8" s="14"/>
      <c r="K8" s="17" t="s">
        <v>550</v>
      </c>
      <c r="L8" s="17" t="s">
        <v>550</v>
      </c>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row>
    <row r="9" ht="16" customHeight="1" spans="1:50" x14ac:dyDescent="0.25">
      <c r="A9" s="14" t="s">
        <v>93</v>
      </c>
      <c r="B9" s="14" t="s">
        <v>95</v>
      </c>
      <c r="C9" s="14" t="s">
        <v>24</v>
      </c>
      <c r="D9" s="16">
        <v>46156</v>
      </c>
      <c r="E9" s="16">
        <v>46156</v>
      </c>
      <c r="F9" s="14">
        <v>1</v>
      </c>
      <c r="G9" s="14" t="s">
        <v>25</v>
      </c>
      <c r="H9" s="14" t="s">
        <v>63</v>
      </c>
      <c r="I9" s="14"/>
      <c r="J9" s="14"/>
      <c r="K9" s="14"/>
      <c r="L9" s="17" t="s">
        <v>550</v>
      </c>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row>
    <row r="10" ht="16" customHeight="1" spans="1:50" x14ac:dyDescent="0.25">
      <c r="A10" s="14" t="s">
        <v>99</v>
      </c>
      <c r="B10" s="14" t="s">
        <v>100</v>
      </c>
      <c r="C10" s="14" t="s">
        <v>24</v>
      </c>
      <c r="D10" s="16">
        <v>46156</v>
      </c>
      <c r="E10" s="16">
        <v>46157</v>
      </c>
      <c r="F10" s="14">
        <v>2</v>
      </c>
      <c r="G10" s="14" t="s">
        <v>25</v>
      </c>
      <c r="H10" s="14" t="s">
        <v>57</v>
      </c>
      <c r="I10" s="14"/>
      <c r="J10" s="14"/>
      <c r="K10" s="14"/>
      <c r="L10" s="17" t="s">
        <v>550</v>
      </c>
      <c r="M10" s="17" t="s">
        <v>550</v>
      </c>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row>
    <row r="11" ht="16" customHeight="1" spans="1:50" x14ac:dyDescent="0.25">
      <c r="A11" s="14" t="s">
        <v>104</v>
      </c>
      <c r="B11" s="14" t="s">
        <v>106</v>
      </c>
      <c r="C11" s="14" t="s">
        <v>26</v>
      </c>
      <c r="D11" s="16">
        <v>46158</v>
      </c>
      <c r="E11" s="16">
        <v>46158</v>
      </c>
      <c r="F11" s="14">
        <v>1</v>
      </c>
      <c r="G11" s="14" t="s">
        <v>25</v>
      </c>
      <c r="H11" s="14" t="s">
        <v>88</v>
      </c>
      <c r="I11" s="14"/>
      <c r="J11" s="14"/>
      <c r="K11" s="14"/>
      <c r="L11" s="14"/>
      <c r="M11" s="14"/>
      <c r="N11" s="17" t="s">
        <v>550</v>
      </c>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row>
    <row r="12" ht="16" customHeight="1" spans="1:50" x14ac:dyDescent="0.25">
      <c r="A12" s="14" t="s">
        <v>110</v>
      </c>
      <c r="B12" s="14" t="s">
        <v>111</v>
      </c>
      <c r="C12" s="14" t="s">
        <v>26</v>
      </c>
      <c r="D12" s="16">
        <v>46158</v>
      </c>
      <c r="E12" s="16">
        <v>46158</v>
      </c>
      <c r="F12" s="14">
        <v>1</v>
      </c>
      <c r="G12" s="14" t="s">
        <v>25</v>
      </c>
      <c r="H12" s="14" t="s">
        <v>104</v>
      </c>
      <c r="I12" s="14"/>
      <c r="J12" s="14"/>
      <c r="K12" s="14"/>
      <c r="L12" s="14"/>
      <c r="M12" s="14"/>
      <c r="N12" s="17" t="s">
        <v>550</v>
      </c>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row>
    <row r="13" ht="16" customHeight="1" spans="1:50" x14ac:dyDescent="0.25">
      <c r="A13" s="14" t="s">
        <v>115</v>
      </c>
      <c r="B13" s="14" t="s">
        <v>116</v>
      </c>
      <c r="C13" s="14" t="s">
        <v>26</v>
      </c>
      <c r="D13" s="16">
        <v>46159</v>
      </c>
      <c r="E13" s="16">
        <v>46159</v>
      </c>
      <c r="F13" s="14">
        <v>1</v>
      </c>
      <c r="G13" s="14" t="s">
        <v>25</v>
      </c>
      <c r="H13" s="14" t="s">
        <v>104</v>
      </c>
      <c r="I13" s="14"/>
      <c r="J13" s="14"/>
      <c r="K13" s="14"/>
      <c r="L13" s="14"/>
      <c r="M13" s="14"/>
      <c r="N13" s="14"/>
      <c r="O13" s="17" t="s">
        <v>550</v>
      </c>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row>
    <row r="14" ht="16" customHeight="1" spans="1:50" x14ac:dyDescent="0.25">
      <c r="A14" s="14" t="s">
        <v>120</v>
      </c>
      <c r="B14" s="14" t="s">
        <v>121</v>
      </c>
      <c r="C14" s="14" t="s">
        <v>26</v>
      </c>
      <c r="D14" s="16">
        <v>46159</v>
      </c>
      <c r="E14" s="16">
        <v>46159</v>
      </c>
      <c r="F14" s="14">
        <v>1</v>
      </c>
      <c r="G14" s="14" t="s">
        <v>25</v>
      </c>
      <c r="H14" s="14" t="s">
        <v>110</v>
      </c>
      <c r="I14" s="14"/>
      <c r="J14" s="14"/>
      <c r="K14" s="14"/>
      <c r="L14" s="14"/>
      <c r="M14" s="14"/>
      <c r="N14" s="14"/>
      <c r="O14" s="17" t="s">
        <v>550</v>
      </c>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row>
    <row r="15" ht="32" customHeight="1" spans="1:50" x14ac:dyDescent="0.25">
      <c r="A15" s="14" t="s">
        <v>125</v>
      </c>
      <c r="B15" s="14" t="s">
        <v>127</v>
      </c>
      <c r="C15" s="14" t="s">
        <v>26</v>
      </c>
      <c r="D15" s="16">
        <v>46160</v>
      </c>
      <c r="E15" s="16">
        <v>46161</v>
      </c>
      <c r="F15" s="14">
        <v>2</v>
      </c>
      <c r="G15" s="14" t="s">
        <v>25</v>
      </c>
      <c r="H15" s="14" t="s">
        <v>131</v>
      </c>
      <c r="I15" s="14"/>
      <c r="J15" s="14"/>
      <c r="K15" s="14"/>
      <c r="L15" s="14"/>
      <c r="M15" s="14"/>
      <c r="N15" s="14"/>
      <c r="O15" s="14"/>
      <c r="P15" s="17" t="s">
        <v>550</v>
      </c>
      <c r="Q15" s="17" t="s">
        <v>550</v>
      </c>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row>
    <row r="16" ht="16" customHeight="1" spans="1:50" x14ac:dyDescent="0.25">
      <c r="A16" s="14" t="s">
        <v>133</v>
      </c>
      <c r="B16" s="14" t="s">
        <v>134</v>
      </c>
      <c r="C16" s="14" t="s">
        <v>26</v>
      </c>
      <c r="D16" s="16">
        <v>46160</v>
      </c>
      <c r="E16" s="16">
        <v>46161</v>
      </c>
      <c r="F16" s="14">
        <v>2</v>
      </c>
      <c r="G16" s="14" t="s">
        <v>25</v>
      </c>
      <c r="H16" s="14" t="s">
        <v>137</v>
      </c>
      <c r="I16" s="14"/>
      <c r="J16" s="14"/>
      <c r="K16" s="14"/>
      <c r="L16" s="14"/>
      <c r="M16" s="14"/>
      <c r="N16" s="14"/>
      <c r="O16" s="14"/>
      <c r="P16" s="17" t="s">
        <v>550</v>
      </c>
      <c r="Q16" s="17" t="s">
        <v>550</v>
      </c>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row>
    <row r="17" ht="16" customHeight="1" spans="1:50" x14ac:dyDescent="0.25">
      <c r="A17" s="14" t="s">
        <v>139</v>
      </c>
      <c r="B17" s="14" t="s">
        <v>140</v>
      </c>
      <c r="C17" s="14" t="s">
        <v>26</v>
      </c>
      <c r="D17" s="16">
        <v>46161</v>
      </c>
      <c r="E17" s="16">
        <v>46162</v>
      </c>
      <c r="F17" s="14">
        <v>2</v>
      </c>
      <c r="G17" s="14" t="s">
        <v>25</v>
      </c>
      <c r="H17" s="14" t="s">
        <v>143</v>
      </c>
      <c r="I17" s="14"/>
      <c r="J17" s="14"/>
      <c r="K17" s="14"/>
      <c r="L17" s="14"/>
      <c r="M17" s="14"/>
      <c r="N17" s="14"/>
      <c r="O17" s="14"/>
      <c r="P17" s="14"/>
      <c r="Q17" s="17" t="s">
        <v>550</v>
      </c>
      <c r="R17" s="17" t="s">
        <v>550</v>
      </c>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row>
    <row r="18" ht="16" customHeight="1" spans="1:50" x14ac:dyDescent="0.25">
      <c r="A18" s="14" t="s">
        <v>145</v>
      </c>
      <c r="B18" s="14" t="s">
        <v>147</v>
      </c>
      <c r="C18" s="14" t="s">
        <v>26</v>
      </c>
      <c r="D18" s="16">
        <v>46162</v>
      </c>
      <c r="E18" s="16">
        <v>46163</v>
      </c>
      <c r="F18" s="14">
        <v>2</v>
      </c>
      <c r="G18" s="14" t="s">
        <v>25</v>
      </c>
      <c r="H18" s="14" t="s">
        <v>150</v>
      </c>
      <c r="I18" s="14"/>
      <c r="J18" s="14"/>
      <c r="K18" s="14"/>
      <c r="L18" s="14"/>
      <c r="M18" s="14"/>
      <c r="N18" s="14"/>
      <c r="O18" s="14"/>
      <c r="P18" s="14"/>
      <c r="Q18" s="14"/>
      <c r="R18" s="17" t="s">
        <v>550</v>
      </c>
      <c r="S18" s="17" t="s">
        <v>550</v>
      </c>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row>
    <row r="19" ht="16" customHeight="1" spans="1:50" x14ac:dyDescent="0.25">
      <c r="A19" s="14" t="s">
        <v>152</v>
      </c>
      <c r="B19" s="14" t="s">
        <v>154</v>
      </c>
      <c r="C19" s="14" t="s">
        <v>26</v>
      </c>
      <c r="D19" s="16">
        <v>46162</v>
      </c>
      <c r="E19" s="16">
        <v>46163</v>
      </c>
      <c r="F19" s="14">
        <v>2</v>
      </c>
      <c r="G19" s="14" t="s">
        <v>25</v>
      </c>
      <c r="H19" s="14" t="s">
        <v>139</v>
      </c>
      <c r="I19" s="14"/>
      <c r="J19" s="14"/>
      <c r="K19" s="14"/>
      <c r="L19" s="14"/>
      <c r="M19" s="14"/>
      <c r="N19" s="14"/>
      <c r="O19" s="14"/>
      <c r="P19" s="14"/>
      <c r="Q19" s="14"/>
      <c r="R19" s="17" t="s">
        <v>550</v>
      </c>
      <c r="S19" s="17" t="s">
        <v>550</v>
      </c>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row>
    <row r="20" ht="16" customHeight="1" spans="1:50" x14ac:dyDescent="0.25">
      <c r="A20" s="14" t="s">
        <v>158</v>
      </c>
      <c r="B20" s="14" t="s">
        <v>160</v>
      </c>
      <c r="C20" s="14" t="s">
        <v>27</v>
      </c>
      <c r="D20" s="16">
        <v>46164</v>
      </c>
      <c r="E20" s="16">
        <v>46164</v>
      </c>
      <c r="F20" s="14">
        <v>1</v>
      </c>
      <c r="G20" s="14" t="s">
        <v>25</v>
      </c>
      <c r="H20" s="14" t="s">
        <v>125</v>
      </c>
      <c r="I20" s="14"/>
      <c r="J20" s="14"/>
      <c r="K20" s="14"/>
      <c r="L20" s="14"/>
      <c r="M20" s="14"/>
      <c r="N20" s="14"/>
      <c r="O20" s="14"/>
      <c r="P20" s="14"/>
      <c r="Q20" s="14"/>
      <c r="R20" s="14"/>
      <c r="S20" s="14"/>
      <c r="T20" s="17" t="s">
        <v>550</v>
      </c>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row>
    <row r="21" ht="16" customHeight="1" spans="1:50" x14ac:dyDescent="0.25">
      <c r="A21" s="14" t="s">
        <v>164</v>
      </c>
      <c r="B21" s="14" t="s">
        <v>165</v>
      </c>
      <c r="C21" s="14" t="s">
        <v>27</v>
      </c>
      <c r="D21" s="16">
        <v>46164</v>
      </c>
      <c r="E21" s="16">
        <v>46165</v>
      </c>
      <c r="F21" s="14">
        <v>2</v>
      </c>
      <c r="G21" s="14" t="s">
        <v>25</v>
      </c>
      <c r="H21" s="14" t="s">
        <v>168</v>
      </c>
      <c r="I21" s="14"/>
      <c r="J21" s="14"/>
      <c r="K21" s="14"/>
      <c r="L21" s="14"/>
      <c r="M21" s="14"/>
      <c r="N21" s="14"/>
      <c r="O21" s="14"/>
      <c r="P21" s="14"/>
      <c r="Q21" s="14"/>
      <c r="R21" s="14"/>
      <c r="S21" s="14"/>
      <c r="T21" s="17" t="s">
        <v>550</v>
      </c>
      <c r="U21" s="17" t="s">
        <v>550</v>
      </c>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row>
    <row r="22" ht="16" customHeight="1" spans="1:50" x14ac:dyDescent="0.25">
      <c r="A22" s="14" t="s">
        <v>170</v>
      </c>
      <c r="B22" s="14" t="s">
        <v>171</v>
      </c>
      <c r="C22" s="14" t="s">
        <v>27</v>
      </c>
      <c r="D22" s="16">
        <v>46165</v>
      </c>
      <c r="E22" s="16">
        <v>46166</v>
      </c>
      <c r="F22" s="14">
        <v>2</v>
      </c>
      <c r="G22" s="14" t="s">
        <v>25</v>
      </c>
      <c r="H22" s="14" t="s">
        <v>164</v>
      </c>
      <c r="I22" s="14"/>
      <c r="J22" s="14"/>
      <c r="K22" s="14"/>
      <c r="L22" s="14"/>
      <c r="M22" s="14"/>
      <c r="N22" s="14"/>
      <c r="O22" s="14"/>
      <c r="P22" s="14"/>
      <c r="Q22" s="14"/>
      <c r="R22" s="14"/>
      <c r="S22" s="14"/>
      <c r="T22" s="14"/>
      <c r="U22" s="17" t="s">
        <v>550</v>
      </c>
      <c r="V22" s="17" t="s">
        <v>550</v>
      </c>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row>
    <row r="23" ht="16" customHeight="1" spans="1:50" x14ac:dyDescent="0.25">
      <c r="A23" s="14" t="s">
        <v>175</v>
      </c>
      <c r="B23" s="14" t="s">
        <v>177</v>
      </c>
      <c r="C23" s="14" t="s">
        <v>27</v>
      </c>
      <c r="D23" s="16">
        <v>46166</v>
      </c>
      <c r="E23" s="16">
        <v>46166</v>
      </c>
      <c r="F23" s="14">
        <v>1</v>
      </c>
      <c r="G23" s="14" t="s">
        <v>25</v>
      </c>
      <c r="H23" s="14" t="s">
        <v>152</v>
      </c>
      <c r="I23" s="14"/>
      <c r="J23" s="14"/>
      <c r="K23" s="14"/>
      <c r="L23" s="14"/>
      <c r="M23" s="14"/>
      <c r="N23" s="14"/>
      <c r="O23" s="14"/>
      <c r="P23" s="14"/>
      <c r="Q23" s="14"/>
      <c r="R23" s="14"/>
      <c r="S23" s="14"/>
      <c r="T23" s="14"/>
      <c r="U23" s="14"/>
      <c r="V23" s="17" t="s">
        <v>550</v>
      </c>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row>
    <row r="24" ht="16" customHeight="1" spans="1:50" x14ac:dyDescent="0.25">
      <c r="A24" s="14" t="s">
        <v>182</v>
      </c>
      <c r="B24" s="14" t="s">
        <v>183</v>
      </c>
      <c r="C24" s="14" t="s">
        <v>27</v>
      </c>
      <c r="D24" s="16">
        <v>46167</v>
      </c>
      <c r="E24" s="16">
        <v>46168</v>
      </c>
      <c r="F24" s="14">
        <v>2</v>
      </c>
      <c r="G24" s="14" t="s">
        <v>25</v>
      </c>
      <c r="H24" s="14" t="s">
        <v>187</v>
      </c>
      <c r="I24" s="14"/>
      <c r="J24" s="14"/>
      <c r="K24" s="14"/>
      <c r="L24" s="14"/>
      <c r="M24" s="14"/>
      <c r="N24" s="14"/>
      <c r="O24" s="14"/>
      <c r="P24" s="14"/>
      <c r="Q24" s="14"/>
      <c r="R24" s="14"/>
      <c r="S24" s="14"/>
      <c r="T24" s="14"/>
      <c r="U24" s="14"/>
      <c r="V24" s="14"/>
      <c r="W24" s="17" t="s">
        <v>550</v>
      </c>
      <c r="X24" s="17" t="s">
        <v>550</v>
      </c>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row>
    <row r="25" ht="16" customHeight="1" spans="1:50" x14ac:dyDescent="0.25">
      <c r="A25" s="14" t="s">
        <v>189</v>
      </c>
      <c r="B25" s="14" t="s">
        <v>191</v>
      </c>
      <c r="C25" s="14" t="s">
        <v>27</v>
      </c>
      <c r="D25" s="16">
        <v>46166</v>
      </c>
      <c r="E25" s="16">
        <v>46167</v>
      </c>
      <c r="F25" s="14">
        <v>2</v>
      </c>
      <c r="G25" s="14" t="s">
        <v>25</v>
      </c>
      <c r="H25" s="14" t="s">
        <v>145</v>
      </c>
      <c r="I25" s="14"/>
      <c r="J25" s="14"/>
      <c r="K25" s="14"/>
      <c r="L25" s="14"/>
      <c r="M25" s="14"/>
      <c r="N25" s="14"/>
      <c r="O25" s="14"/>
      <c r="P25" s="14"/>
      <c r="Q25" s="14"/>
      <c r="R25" s="14"/>
      <c r="S25" s="14"/>
      <c r="T25" s="14"/>
      <c r="U25" s="14"/>
      <c r="V25" s="17" t="s">
        <v>550</v>
      </c>
      <c r="W25" s="17" t="s">
        <v>550</v>
      </c>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row>
    <row r="26" ht="16" customHeight="1" spans="1:50" x14ac:dyDescent="0.25">
      <c r="A26" s="14" t="s">
        <v>195</v>
      </c>
      <c r="B26" s="14" t="s">
        <v>197</v>
      </c>
      <c r="C26" s="14" t="s">
        <v>27</v>
      </c>
      <c r="D26" s="16">
        <v>46168</v>
      </c>
      <c r="E26" s="16">
        <v>46169</v>
      </c>
      <c r="F26" s="14">
        <v>2</v>
      </c>
      <c r="G26" s="14" t="s">
        <v>25</v>
      </c>
      <c r="H26" s="14" t="s">
        <v>201</v>
      </c>
      <c r="I26" s="14"/>
      <c r="J26" s="14"/>
      <c r="K26" s="14"/>
      <c r="L26" s="14"/>
      <c r="M26" s="14"/>
      <c r="N26" s="14"/>
      <c r="O26" s="14"/>
      <c r="P26" s="14"/>
      <c r="Q26" s="14"/>
      <c r="R26" s="14"/>
      <c r="S26" s="14"/>
      <c r="T26" s="14"/>
      <c r="U26" s="14"/>
      <c r="V26" s="14"/>
      <c r="W26" s="14"/>
      <c r="X26" s="17" t="s">
        <v>550</v>
      </c>
      <c r="Y26" s="17" t="s">
        <v>550</v>
      </c>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row>
    <row r="27" ht="16" customHeight="1" spans="1:50" x14ac:dyDescent="0.25">
      <c r="A27" s="14" t="s">
        <v>203</v>
      </c>
      <c r="B27" s="14" t="s">
        <v>205</v>
      </c>
      <c r="C27" s="14" t="s">
        <v>28</v>
      </c>
      <c r="D27" s="16">
        <v>46170</v>
      </c>
      <c r="E27" s="16">
        <v>46170</v>
      </c>
      <c r="F27" s="14">
        <v>1</v>
      </c>
      <c r="G27" s="14" t="s">
        <v>25</v>
      </c>
      <c r="H27" s="14" t="s">
        <v>125</v>
      </c>
      <c r="I27" s="14"/>
      <c r="J27" s="14"/>
      <c r="K27" s="14"/>
      <c r="L27" s="14"/>
      <c r="M27" s="14"/>
      <c r="N27" s="14"/>
      <c r="O27" s="14"/>
      <c r="P27" s="14"/>
      <c r="Q27" s="14"/>
      <c r="R27" s="14"/>
      <c r="S27" s="14"/>
      <c r="T27" s="14"/>
      <c r="U27" s="14"/>
      <c r="V27" s="14"/>
      <c r="W27" s="14"/>
      <c r="X27" s="14"/>
      <c r="Y27" s="14"/>
      <c r="Z27" s="17" t="s">
        <v>550</v>
      </c>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row>
    <row r="28" ht="16" customHeight="1" spans="1:50" x14ac:dyDescent="0.25">
      <c r="A28" s="14" t="s">
        <v>209</v>
      </c>
      <c r="B28" s="14" t="s">
        <v>210</v>
      </c>
      <c r="C28" s="14" t="s">
        <v>28</v>
      </c>
      <c r="D28" s="16">
        <v>46170</v>
      </c>
      <c r="E28" s="16">
        <v>46170</v>
      </c>
      <c r="F28" s="14">
        <v>1</v>
      </c>
      <c r="G28" s="14" t="s">
        <v>25</v>
      </c>
      <c r="H28" s="14" t="s">
        <v>203</v>
      </c>
      <c r="I28" s="14"/>
      <c r="J28" s="14"/>
      <c r="K28" s="14"/>
      <c r="L28" s="14"/>
      <c r="M28" s="14"/>
      <c r="N28" s="14"/>
      <c r="O28" s="14"/>
      <c r="P28" s="14"/>
      <c r="Q28" s="14"/>
      <c r="R28" s="14"/>
      <c r="S28" s="14"/>
      <c r="T28" s="14"/>
      <c r="U28" s="14"/>
      <c r="V28" s="14"/>
      <c r="W28" s="14"/>
      <c r="X28" s="14"/>
      <c r="Y28" s="14"/>
      <c r="Z28" s="17" t="s">
        <v>550</v>
      </c>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row>
    <row r="29" ht="16" customHeight="1" spans="1:50" x14ac:dyDescent="0.25">
      <c r="A29" s="14" t="s">
        <v>214</v>
      </c>
      <c r="B29" s="14" t="s">
        <v>216</v>
      </c>
      <c r="C29" s="14" t="s">
        <v>28</v>
      </c>
      <c r="D29" s="16">
        <v>46171</v>
      </c>
      <c r="E29" s="16">
        <v>46171</v>
      </c>
      <c r="F29" s="14">
        <v>1</v>
      </c>
      <c r="G29" s="14" t="s">
        <v>25</v>
      </c>
      <c r="H29" s="14" t="s">
        <v>203</v>
      </c>
      <c r="I29" s="14"/>
      <c r="J29" s="14"/>
      <c r="K29" s="14"/>
      <c r="L29" s="14"/>
      <c r="M29" s="14"/>
      <c r="N29" s="14"/>
      <c r="O29" s="14"/>
      <c r="P29" s="14"/>
      <c r="Q29" s="14"/>
      <c r="R29" s="14"/>
      <c r="S29" s="14"/>
      <c r="T29" s="14"/>
      <c r="U29" s="14"/>
      <c r="V29" s="14"/>
      <c r="W29" s="14"/>
      <c r="X29" s="14"/>
      <c r="Y29" s="14"/>
      <c r="Z29" s="14"/>
      <c r="AA29" s="17" t="s">
        <v>550</v>
      </c>
      <c r="AB29" s="14"/>
      <c r="AC29" s="14"/>
      <c r="AD29" s="14"/>
      <c r="AE29" s="14"/>
      <c r="AF29" s="14"/>
      <c r="AG29" s="14"/>
      <c r="AH29" s="14"/>
      <c r="AI29" s="14"/>
      <c r="AJ29" s="14"/>
      <c r="AK29" s="14"/>
      <c r="AL29" s="14"/>
      <c r="AM29" s="14"/>
      <c r="AN29" s="14"/>
      <c r="AO29" s="14"/>
      <c r="AP29" s="14"/>
      <c r="AQ29" s="14"/>
      <c r="AR29" s="14"/>
      <c r="AS29" s="14"/>
      <c r="AT29" s="14"/>
      <c r="AU29" s="14"/>
      <c r="AV29" s="14"/>
      <c r="AW29" s="14"/>
      <c r="AX29" s="14"/>
    </row>
    <row r="30" ht="16" customHeight="1" spans="1:50" x14ac:dyDescent="0.25">
      <c r="A30" s="14" t="s">
        <v>220</v>
      </c>
      <c r="B30" s="14" t="s">
        <v>221</v>
      </c>
      <c r="C30" s="14" t="s">
        <v>28</v>
      </c>
      <c r="D30" s="16">
        <v>46171</v>
      </c>
      <c r="E30" s="16">
        <v>46172</v>
      </c>
      <c r="F30" s="14">
        <v>2</v>
      </c>
      <c r="G30" s="14" t="s">
        <v>25</v>
      </c>
      <c r="H30" s="14" t="s">
        <v>224</v>
      </c>
      <c r="I30" s="14"/>
      <c r="J30" s="14"/>
      <c r="K30" s="14"/>
      <c r="L30" s="14"/>
      <c r="M30" s="14"/>
      <c r="N30" s="14"/>
      <c r="O30" s="14"/>
      <c r="P30" s="14"/>
      <c r="Q30" s="14"/>
      <c r="R30" s="14"/>
      <c r="S30" s="14"/>
      <c r="T30" s="14"/>
      <c r="U30" s="14"/>
      <c r="V30" s="14"/>
      <c r="W30" s="14"/>
      <c r="X30" s="14"/>
      <c r="Y30" s="14"/>
      <c r="Z30" s="14"/>
      <c r="AA30" s="17" t="s">
        <v>550</v>
      </c>
      <c r="AB30" s="17" t="s">
        <v>550</v>
      </c>
      <c r="AC30" s="14"/>
      <c r="AD30" s="14"/>
      <c r="AE30" s="14"/>
      <c r="AF30" s="14"/>
      <c r="AG30" s="14"/>
      <c r="AH30" s="14"/>
      <c r="AI30" s="14"/>
      <c r="AJ30" s="14"/>
      <c r="AK30" s="14"/>
      <c r="AL30" s="14"/>
      <c r="AM30" s="14"/>
      <c r="AN30" s="14"/>
      <c r="AO30" s="14"/>
      <c r="AP30" s="14"/>
      <c r="AQ30" s="14"/>
      <c r="AR30" s="14"/>
      <c r="AS30" s="14"/>
      <c r="AT30" s="14"/>
      <c r="AU30" s="14"/>
      <c r="AV30" s="14"/>
      <c r="AW30" s="14"/>
      <c r="AX30" s="14"/>
    </row>
    <row r="31" ht="16" customHeight="1" spans="1:50" x14ac:dyDescent="0.25">
      <c r="A31" s="14" t="s">
        <v>226</v>
      </c>
      <c r="B31" s="14" t="s">
        <v>227</v>
      </c>
      <c r="C31" s="14" t="s">
        <v>28</v>
      </c>
      <c r="D31" s="16">
        <v>46172</v>
      </c>
      <c r="E31" s="16">
        <v>46173</v>
      </c>
      <c r="F31" s="14">
        <v>2</v>
      </c>
      <c r="G31" s="14" t="s">
        <v>25</v>
      </c>
      <c r="H31" s="14" t="s">
        <v>220</v>
      </c>
      <c r="I31" s="14"/>
      <c r="J31" s="14"/>
      <c r="K31" s="14"/>
      <c r="L31" s="14"/>
      <c r="M31" s="14"/>
      <c r="N31" s="14"/>
      <c r="O31" s="14"/>
      <c r="P31" s="14"/>
      <c r="Q31" s="14"/>
      <c r="R31" s="14"/>
      <c r="S31" s="14"/>
      <c r="T31" s="14"/>
      <c r="U31" s="14"/>
      <c r="V31" s="14"/>
      <c r="W31" s="14"/>
      <c r="X31" s="14"/>
      <c r="Y31" s="14"/>
      <c r="Z31" s="14"/>
      <c r="AA31" s="14"/>
      <c r="AB31" s="17" t="s">
        <v>550</v>
      </c>
      <c r="AC31" s="17" t="s">
        <v>550</v>
      </c>
      <c r="AD31" s="14"/>
      <c r="AE31" s="14"/>
      <c r="AF31" s="14"/>
      <c r="AG31" s="14"/>
      <c r="AH31" s="14"/>
      <c r="AI31" s="14"/>
      <c r="AJ31" s="14"/>
      <c r="AK31" s="14"/>
      <c r="AL31" s="14"/>
      <c r="AM31" s="14"/>
      <c r="AN31" s="14"/>
      <c r="AO31" s="14"/>
      <c r="AP31" s="14"/>
      <c r="AQ31" s="14"/>
      <c r="AR31" s="14"/>
      <c r="AS31" s="14"/>
      <c r="AT31" s="14"/>
      <c r="AU31" s="14"/>
      <c r="AV31" s="14"/>
      <c r="AW31" s="14"/>
      <c r="AX31" s="14"/>
    </row>
    <row r="32" ht="16" customHeight="1" spans="1:50" x14ac:dyDescent="0.25">
      <c r="A32" s="14" t="s">
        <v>231</v>
      </c>
      <c r="B32" s="14" t="s">
        <v>232</v>
      </c>
      <c r="C32" s="14" t="s">
        <v>28</v>
      </c>
      <c r="D32" s="16">
        <v>46173</v>
      </c>
      <c r="E32" s="16">
        <v>46174</v>
      </c>
      <c r="F32" s="14">
        <v>2</v>
      </c>
      <c r="G32" s="14" t="s">
        <v>25</v>
      </c>
      <c r="H32" s="14" t="s">
        <v>226</v>
      </c>
      <c r="I32" s="14"/>
      <c r="J32" s="14"/>
      <c r="K32" s="14"/>
      <c r="L32" s="14"/>
      <c r="M32" s="14"/>
      <c r="N32" s="14"/>
      <c r="O32" s="14"/>
      <c r="P32" s="14"/>
      <c r="Q32" s="14"/>
      <c r="R32" s="14"/>
      <c r="S32" s="14"/>
      <c r="T32" s="14"/>
      <c r="U32" s="14"/>
      <c r="V32" s="14"/>
      <c r="W32" s="14"/>
      <c r="X32" s="14"/>
      <c r="Y32" s="14"/>
      <c r="Z32" s="14"/>
      <c r="AA32" s="14"/>
      <c r="AB32" s="14"/>
      <c r="AC32" s="17" t="s">
        <v>550</v>
      </c>
      <c r="AD32" s="17" t="s">
        <v>550</v>
      </c>
      <c r="AE32" s="14"/>
      <c r="AF32" s="14"/>
      <c r="AG32" s="14"/>
      <c r="AH32" s="14"/>
      <c r="AI32" s="14"/>
      <c r="AJ32" s="14"/>
      <c r="AK32" s="14"/>
      <c r="AL32" s="14"/>
      <c r="AM32" s="14"/>
      <c r="AN32" s="14"/>
      <c r="AO32" s="14"/>
      <c r="AP32" s="14"/>
      <c r="AQ32" s="14"/>
      <c r="AR32" s="14"/>
      <c r="AS32" s="14"/>
      <c r="AT32" s="14"/>
      <c r="AU32" s="14"/>
      <c r="AV32" s="14"/>
      <c r="AW32" s="14"/>
      <c r="AX32" s="14"/>
    </row>
    <row r="33" ht="16" customHeight="1" spans="1:50" x14ac:dyDescent="0.25">
      <c r="A33" s="14" t="s">
        <v>236</v>
      </c>
      <c r="B33" s="14" t="s">
        <v>237</v>
      </c>
      <c r="C33" s="14" t="s">
        <v>28</v>
      </c>
      <c r="D33" s="16">
        <v>46174</v>
      </c>
      <c r="E33" s="16">
        <v>46175</v>
      </c>
      <c r="F33" s="14">
        <v>2</v>
      </c>
      <c r="G33" s="14" t="s">
        <v>25</v>
      </c>
      <c r="H33" s="14" t="s">
        <v>240</v>
      </c>
      <c r="I33" s="14"/>
      <c r="J33" s="14"/>
      <c r="K33" s="14"/>
      <c r="L33" s="14"/>
      <c r="M33" s="14"/>
      <c r="N33" s="14"/>
      <c r="O33" s="14"/>
      <c r="P33" s="14"/>
      <c r="Q33" s="14"/>
      <c r="R33" s="14"/>
      <c r="S33" s="14"/>
      <c r="T33" s="14"/>
      <c r="U33" s="14"/>
      <c r="V33" s="14"/>
      <c r="W33" s="14"/>
      <c r="X33" s="14"/>
      <c r="Y33" s="14"/>
      <c r="Z33" s="14"/>
      <c r="AA33" s="14"/>
      <c r="AB33" s="14"/>
      <c r="AC33" s="14"/>
      <c r="AD33" s="17" t="s">
        <v>550</v>
      </c>
      <c r="AE33" s="17" t="s">
        <v>550</v>
      </c>
      <c r="AF33" s="14"/>
      <c r="AG33" s="14"/>
      <c r="AH33" s="14"/>
      <c r="AI33" s="14"/>
      <c r="AJ33" s="14"/>
      <c r="AK33" s="14"/>
      <c r="AL33" s="14"/>
      <c r="AM33" s="14"/>
      <c r="AN33" s="14"/>
      <c r="AO33" s="14"/>
      <c r="AP33" s="14"/>
      <c r="AQ33" s="14"/>
      <c r="AR33" s="14"/>
      <c r="AS33" s="14"/>
      <c r="AT33" s="14"/>
      <c r="AU33" s="14"/>
      <c r="AV33" s="14"/>
      <c r="AW33" s="14"/>
      <c r="AX33" s="14"/>
    </row>
    <row r="34" ht="16" customHeight="1" spans="1:50" x14ac:dyDescent="0.25">
      <c r="A34" s="14" t="s">
        <v>242</v>
      </c>
      <c r="B34" s="14" t="s">
        <v>244</v>
      </c>
      <c r="C34" s="14" t="s">
        <v>28</v>
      </c>
      <c r="D34" s="16">
        <v>46173</v>
      </c>
      <c r="E34" s="16">
        <v>46174</v>
      </c>
      <c r="F34" s="14">
        <v>2</v>
      </c>
      <c r="G34" s="14" t="s">
        <v>25</v>
      </c>
      <c r="H34" s="14" t="s">
        <v>247</v>
      </c>
      <c r="I34" s="14"/>
      <c r="J34" s="14"/>
      <c r="K34" s="14"/>
      <c r="L34" s="14"/>
      <c r="M34" s="14"/>
      <c r="N34" s="14"/>
      <c r="O34" s="14"/>
      <c r="P34" s="14"/>
      <c r="Q34" s="14"/>
      <c r="R34" s="14"/>
      <c r="S34" s="14"/>
      <c r="T34" s="14"/>
      <c r="U34" s="14"/>
      <c r="V34" s="14"/>
      <c r="W34" s="14"/>
      <c r="X34" s="14"/>
      <c r="Y34" s="14"/>
      <c r="Z34" s="14"/>
      <c r="AA34" s="14"/>
      <c r="AB34" s="14"/>
      <c r="AC34" s="17" t="s">
        <v>550</v>
      </c>
      <c r="AD34" s="17" t="s">
        <v>550</v>
      </c>
      <c r="AE34" s="14"/>
      <c r="AF34" s="14"/>
      <c r="AG34" s="14"/>
      <c r="AH34" s="14"/>
      <c r="AI34" s="14"/>
      <c r="AJ34" s="14"/>
      <c r="AK34" s="14"/>
      <c r="AL34" s="14"/>
      <c r="AM34" s="14"/>
      <c r="AN34" s="14"/>
      <c r="AO34" s="14"/>
      <c r="AP34" s="14"/>
      <c r="AQ34" s="14"/>
      <c r="AR34" s="14"/>
      <c r="AS34" s="14"/>
      <c r="AT34" s="14"/>
      <c r="AU34" s="14"/>
      <c r="AV34" s="14"/>
      <c r="AW34" s="14"/>
      <c r="AX34" s="14"/>
    </row>
    <row r="35" ht="16" customHeight="1" spans="1:50" x14ac:dyDescent="0.25">
      <c r="A35" s="14" t="s">
        <v>249</v>
      </c>
      <c r="B35" s="14" t="s">
        <v>250</v>
      </c>
      <c r="C35" s="14" t="s">
        <v>28</v>
      </c>
      <c r="D35" s="16">
        <v>46174</v>
      </c>
      <c r="E35" s="16">
        <v>46176</v>
      </c>
      <c r="F35" s="14">
        <v>3</v>
      </c>
      <c r="G35" s="14" t="s">
        <v>25</v>
      </c>
      <c r="H35" s="14" t="s">
        <v>253</v>
      </c>
      <c r="I35" s="14"/>
      <c r="J35" s="14"/>
      <c r="K35" s="14"/>
      <c r="L35" s="14"/>
      <c r="M35" s="14"/>
      <c r="N35" s="14"/>
      <c r="O35" s="14"/>
      <c r="P35" s="14"/>
      <c r="Q35" s="14"/>
      <c r="R35" s="14"/>
      <c r="S35" s="14"/>
      <c r="T35" s="14"/>
      <c r="U35" s="14"/>
      <c r="V35" s="14"/>
      <c r="W35" s="14"/>
      <c r="X35" s="14"/>
      <c r="Y35" s="14"/>
      <c r="Z35" s="14"/>
      <c r="AA35" s="14"/>
      <c r="AB35" s="14"/>
      <c r="AC35" s="14"/>
      <c r="AD35" s="17" t="s">
        <v>550</v>
      </c>
      <c r="AE35" s="17" t="s">
        <v>550</v>
      </c>
      <c r="AF35" s="17" t="s">
        <v>550</v>
      </c>
      <c r="AG35" s="14"/>
      <c r="AH35" s="14"/>
      <c r="AI35" s="14"/>
      <c r="AJ35" s="14"/>
      <c r="AK35" s="14"/>
      <c r="AL35" s="14"/>
      <c r="AM35" s="14"/>
      <c r="AN35" s="14"/>
      <c r="AO35" s="14"/>
      <c r="AP35" s="14"/>
      <c r="AQ35" s="14"/>
      <c r="AR35" s="14"/>
      <c r="AS35" s="14"/>
      <c r="AT35" s="14"/>
      <c r="AU35" s="14"/>
      <c r="AV35" s="14"/>
      <c r="AW35" s="14"/>
      <c r="AX35" s="14"/>
    </row>
    <row r="36" ht="16" customHeight="1" spans="1:50" x14ac:dyDescent="0.25">
      <c r="A36" s="14" t="s">
        <v>255</v>
      </c>
      <c r="B36" s="14" t="s">
        <v>256</v>
      </c>
      <c r="C36" s="14" t="s">
        <v>28</v>
      </c>
      <c r="D36" s="16">
        <v>46176</v>
      </c>
      <c r="E36" s="16">
        <v>46177</v>
      </c>
      <c r="F36" s="14">
        <v>2</v>
      </c>
      <c r="G36" s="14" t="s">
        <v>25</v>
      </c>
      <c r="H36" s="14" t="s">
        <v>259</v>
      </c>
      <c r="I36" s="14"/>
      <c r="J36" s="14"/>
      <c r="K36" s="14"/>
      <c r="L36" s="14"/>
      <c r="M36" s="14"/>
      <c r="N36" s="14"/>
      <c r="O36" s="14"/>
      <c r="P36" s="14"/>
      <c r="Q36" s="14"/>
      <c r="R36" s="14"/>
      <c r="S36" s="14"/>
      <c r="T36" s="14"/>
      <c r="U36" s="14"/>
      <c r="V36" s="14"/>
      <c r="W36" s="14"/>
      <c r="X36" s="14"/>
      <c r="Y36" s="14"/>
      <c r="Z36" s="14"/>
      <c r="AA36" s="14"/>
      <c r="AB36" s="14"/>
      <c r="AC36" s="14"/>
      <c r="AD36" s="14"/>
      <c r="AE36" s="14"/>
      <c r="AF36" s="17" t="s">
        <v>550</v>
      </c>
      <c r="AG36" s="17" t="s">
        <v>550</v>
      </c>
      <c r="AH36" s="14"/>
      <c r="AI36" s="14"/>
      <c r="AJ36" s="14"/>
      <c r="AK36" s="14"/>
      <c r="AL36" s="14"/>
      <c r="AM36" s="14"/>
      <c r="AN36" s="14"/>
      <c r="AO36" s="14"/>
      <c r="AP36" s="14"/>
      <c r="AQ36" s="14"/>
      <c r="AR36" s="14"/>
      <c r="AS36" s="14"/>
      <c r="AT36" s="14"/>
      <c r="AU36" s="14"/>
      <c r="AV36" s="14"/>
      <c r="AW36" s="14"/>
      <c r="AX36" s="14"/>
    </row>
    <row r="37" ht="16" customHeight="1" spans="1:50" x14ac:dyDescent="0.25">
      <c r="A37" s="14" t="s">
        <v>261</v>
      </c>
      <c r="B37" s="14" t="s">
        <v>263</v>
      </c>
      <c r="C37" s="14" t="s">
        <v>30</v>
      </c>
      <c r="D37" s="16">
        <v>46178</v>
      </c>
      <c r="E37" s="16">
        <v>46178</v>
      </c>
      <c r="F37" s="14">
        <v>1</v>
      </c>
      <c r="G37" s="14" t="s">
        <v>25</v>
      </c>
      <c r="H37" s="14" t="s">
        <v>125</v>
      </c>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7" t="s">
        <v>550</v>
      </c>
      <c r="AI37" s="14"/>
      <c r="AJ37" s="14"/>
      <c r="AK37" s="14"/>
      <c r="AL37" s="14"/>
      <c r="AM37" s="14"/>
      <c r="AN37" s="14"/>
      <c r="AO37" s="14"/>
      <c r="AP37" s="14"/>
      <c r="AQ37" s="14"/>
      <c r="AR37" s="14"/>
      <c r="AS37" s="14"/>
      <c r="AT37" s="14"/>
      <c r="AU37" s="14"/>
      <c r="AV37" s="14"/>
      <c r="AW37" s="14"/>
      <c r="AX37" s="14"/>
    </row>
    <row r="38" ht="16" customHeight="1" spans="1:50" x14ac:dyDescent="0.25">
      <c r="A38" s="14" t="s">
        <v>267</v>
      </c>
      <c r="B38" s="14" t="s">
        <v>269</v>
      </c>
      <c r="C38" s="14" t="s">
        <v>30</v>
      </c>
      <c r="D38" s="16">
        <v>46178</v>
      </c>
      <c r="E38" s="16">
        <v>46179</v>
      </c>
      <c r="F38" s="14">
        <v>2</v>
      </c>
      <c r="G38" s="14" t="s">
        <v>25</v>
      </c>
      <c r="H38" s="14" t="s">
        <v>272</v>
      </c>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7" t="s">
        <v>550</v>
      </c>
      <c r="AI38" s="17" t="s">
        <v>550</v>
      </c>
      <c r="AJ38" s="14"/>
      <c r="AK38" s="14"/>
      <c r="AL38" s="14"/>
      <c r="AM38" s="14"/>
      <c r="AN38" s="14"/>
      <c r="AO38" s="14"/>
      <c r="AP38" s="14"/>
      <c r="AQ38" s="14"/>
      <c r="AR38" s="14"/>
      <c r="AS38" s="14"/>
      <c r="AT38" s="14"/>
      <c r="AU38" s="14"/>
      <c r="AV38" s="14"/>
      <c r="AW38" s="14"/>
      <c r="AX38" s="14"/>
    </row>
    <row r="39" ht="16" customHeight="1" spans="1:50" x14ac:dyDescent="0.25">
      <c r="A39" s="14" t="s">
        <v>274</v>
      </c>
      <c r="B39" s="14" t="s">
        <v>275</v>
      </c>
      <c r="C39" s="14" t="s">
        <v>30</v>
      </c>
      <c r="D39" s="16">
        <v>46179</v>
      </c>
      <c r="E39" s="16">
        <v>46180</v>
      </c>
      <c r="F39" s="14">
        <v>2</v>
      </c>
      <c r="G39" s="14" t="s">
        <v>25</v>
      </c>
      <c r="H39" s="14" t="s">
        <v>267</v>
      </c>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7" t="s">
        <v>550</v>
      </c>
      <c r="AJ39" s="17" t="s">
        <v>550</v>
      </c>
      <c r="AK39" s="14"/>
      <c r="AL39" s="14"/>
      <c r="AM39" s="14"/>
      <c r="AN39" s="14"/>
      <c r="AO39" s="14"/>
      <c r="AP39" s="14"/>
      <c r="AQ39" s="14"/>
      <c r="AR39" s="14"/>
      <c r="AS39" s="14"/>
      <c r="AT39" s="14"/>
      <c r="AU39" s="14"/>
      <c r="AV39" s="14"/>
      <c r="AW39" s="14"/>
      <c r="AX39" s="14"/>
    </row>
    <row r="40" ht="16" customHeight="1" spans="1:50" x14ac:dyDescent="0.25">
      <c r="A40" s="14" t="s">
        <v>279</v>
      </c>
      <c r="B40" s="14" t="s">
        <v>281</v>
      </c>
      <c r="C40" s="14" t="s">
        <v>30</v>
      </c>
      <c r="D40" s="16">
        <v>46180</v>
      </c>
      <c r="E40" s="16">
        <v>46181</v>
      </c>
      <c r="F40" s="14">
        <v>2</v>
      </c>
      <c r="G40" s="14" t="s">
        <v>25</v>
      </c>
      <c r="H40" s="14" t="s">
        <v>267</v>
      </c>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7" t="s">
        <v>550</v>
      </c>
      <c r="AK40" s="17" t="s">
        <v>550</v>
      </c>
      <c r="AL40" s="14"/>
      <c r="AM40" s="14"/>
      <c r="AN40" s="14"/>
      <c r="AO40" s="14"/>
      <c r="AP40" s="14"/>
      <c r="AQ40" s="14"/>
      <c r="AR40" s="14"/>
      <c r="AS40" s="14"/>
      <c r="AT40" s="14"/>
      <c r="AU40" s="14"/>
      <c r="AV40" s="14"/>
      <c r="AW40" s="14"/>
      <c r="AX40" s="14"/>
    </row>
    <row r="41" ht="16" customHeight="1" spans="1:50" x14ac:dyDescent="0.25">
      <c r="A41" s="14" t="s">
        <v>285</v>
      </c>
      <c r="B41" s="14" t="s">
        <v>287</v>
      </c>
      <c r="C41" s="14" t="s">
        <v>30</v>
      </c>
      <c r="D41" s="16">
        <v>46180</v>
      </c>
      <c r="E41" s="16">
        <v>46180</v>
      </c>
      <c r="F41" s="14">
        <v>1</v>
      </c>
      <c r="G41" s="14" t="s">
        <v>25</v>
      </c>
      <c r="H41" s="14" t="s">
        <v>290</v>
      </c>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7" t="s">
        <v>550</v>
      </c>
      <c r="AK41" s="14"/>
      <c r="AL41" s="14"/>
      <c r="AM41" s="14"/>
      <c r="AN41" s="14"/>
      <c r="AO41" s="14"/>
      <c r="AP41" s="14"/>
      <c r="AQ41" s="14"/>
      <c r="AR41" s="14"/>
      <c r="AS41" s="14"/>
      <c r="AT41" s="14"/>
      <c r="AU41" s="14"/>
      <c r="AV41" s="14"/>
      <c r="AW41" s="14"/>
      <c r="AX41" s="14"/>
    </row>
    <row r="42" ht="16" customHeight="1" spans="1:50" x14ac:dyDescent="0.25">
      <c r="A42" s="14" t="s">
        <v>292</v>
      </c>
      <c r="B42" s="14" t="s">
        <v>293</v>
      </c>
      <c r="C42" s="14" t="s">
        <v>30</v>
      </c>
      <c r="D42" s="16">
        <v>46181</v>
      </c>
      <c r="E42" s="16">
        <v>46182</v>
      </c>
      <c r="F42" s="14">
        <v>2</v>
      </c>
      <c r="G42" s="14" t="s">
        <v>25</v>
      </c>
      <c r="H42" s="14" t="s">
        <v>285</v>
      </c>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7" t="s">
        <v>550</v>
      </c>
      <c r="AL42" s="17" t="s">
        <v>550</v>
      </c>
      <c r="AM42" s="14"/>
      <c r="AN42" s="14"/>
      <c r="AO42" s="14"/>
      <c r="AP42" s="14"/>
      <c r="AQ42" s="14"/>
      <c r="AR42" s="14"/>
      <c r="AS42" s="14"/>
      <c r="AT42" s="14"/>
      <c r="AU42" s="14"/>
      <c r="AV42" s="14"/>
      <c r="AW42" s="14"/>
      <c r="AX42" s="14"/>
    </row>
    <row r="43" ht="16" customHeight="1" spans="1:50" x14ac:dyDescent="0.25">
      <c r="A43" s="14" t="s">
        <v>297</v>
      </c>
      <c r="B43" s="14" t="s">
        <v>298</v>
      </c>
      <c r="C43" s="14" t="s">
        <v>30</v>
      </c>
      <c r="D43" s="16">
        <v>46182</v>
      </c>
      <c r="E43" s="16">
        <v>46184</v>
      </c>
      <c r="F43" s="14">
        <v>3</v>
      </c>
      <c r="G43" s="14" t="s">
        <v>25</v>
      </c>
      <c r="H43" s="14" t="s">
        <v>301</v>
      </c>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7" t="s">
        <v>550</v>
      </c>
      <c r="AM43" s="17" t="s">
        <v>550</v>
      </c>
      <c r="AN43" s="17" t="s">
        <v>550</v>
      </c>
      <c r="AO43" s="14"/>
      <c r="AP43" s="14"/>
      <c r="AQ43" s="14"/>
      <c r="AR43" s="14"/>
      <c r="AS43" s="14"/>
      <c r="AT43" s="14"/>
      <c r="AU43" s="14"/>
      <c r="AV43" s="14"/>
      <c r="AW43" s="14"/>
      <c r="AX43" s="14"/>
    </row>
    <row r="44" ht="16" customHeight="1" spans="1:50" x14ac:dyDescent="0.25">
      <c r="A44" s="14" t="s">
        <v>303</v>
      </c>
      <c r="B44" s="14" t="s">
        <v>304</v>
      </c>
      <c r="C44" s="14" t="s">
        <v>30</v>
      </c>
      <c r="D44" s="16">
        <v>46183</v>
      </c>
      <c r="E44" s="16">
        <v>46185</v>
      </c>
      <c r="F44" s="14">
        <v>3</v>
      </c>
      <c r="G44" s="14" t="s">
        <v>25</v>
      </c>
      <c r="H44" s="14" t="s">
        <v>307</v>
      </c>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7" t="s">
        <v>550</v>
      </c>
      <c r="AN44" s="17" t="s">
        <v>550</v>
      </c>
      <c r="AO44" s="17" t="s">
        <v>550</v>
      </c>
      <c r="AP44" s="14"/>
      <c r="AQ44" s="14"/>
      <c r="AR44" s="14"/>
      <c r="AS44" s="14"/>
      <c r="AT44" s="14"/>
      <c r="AU44" s="14"/>
      <c r="AV44" s="14"/>
      <c r="AW44" s="14"/>
      <c r="AX44" s="14"/>
    </row>
    <row r="45" ht="16" customHeight="1" spans="1:50" x14ac:dyDescent="0.25">
      <c r="A45" s="14" t="s">
        <v>309</v>
      </c>
      <c r="B45" s="14" t="s">
        <v>311</v>
      </c>
      <c r="C45" s="14" t="s">
        <v>31</v>
      </c>
      <c r="D45" s="16">
        <v>46186</v>
      </c>
      <c r="E45" s="16">
        <v>46186</v>
      </c>
      <c r="F45" s="14">
        <v>1</v>
      </c>
      <c r="G45" s="14" t="s">
        <v>25</v>
      </c>
      <c r="H45" s="14" t="s">
        <v>125</v>
      </c>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7" t="s">
        <v>550</v>
      </c>
      <c r="AQ45" s="14"/>
      <c r="AR45" s="14"/>
      <c r="AS45" s="14"/>
      <c r="AT45" s="14"/>
      <c r="AU45" s="14"/>
      <c r="AV45" s="14"/>
      <c r="AW45" s="14"/>
      <c r="AX45" s="14"/>
    </row>
    <row r="46" ht="16" customHeight="1" spans="1:50" x14ac:dyDescent="0.25">
      <c r="A46" s="14" t="s">
        <v>315</v>
      </c>
      <c r="B46" s="14" t="s">
        <v>316</v>
      </c>
      <c r="C46" s="14" t="s">
        <v>31</v>
      </c>
      <c r="D46" s="16">
        <v>46187</v>
      </c>
      <c r="E46" s="16">
        <v>46188</v>
      </c>
      <c r="F46" s="14">
        <v>2</v>
      </c>
      <c r="G46" s="14" t="s">
        <v>25</v>
      </c>
      <c r="H46" s="14" t="s">
        <v>319</v>
      </c>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7" t="s">
        <v>550</v>
      </c>
      <c r="AR46" s="17" t="s">
        <v>550</v>
      </c>
      <c r="AS46" s="14"/>
      <c r="AT46" s="14"/>
      <c r="AU46" s="14"/>
      <c r="AV46" s="14"/>
      <c r="AW46" s="14"/>
      <c r="AX46" s="14"/>
    </row>
    <row r="47" ht="16" customHeight="1" spans="1:50" x14ac:dyDescent="0.25">
      <c r="A47" s="14" t="s">
        <v>321</v>
      </c>
      <c r="B47" s="14" t="s">
        <v>322</v>
      </c>
      <c r="C47" s="14" t="s">
        <v>31</v>
      </c>
      <c r="D47" s="16">
        <v>46188</v>
      </c>
      <c r="E47" s="16">
        <v>46188</v>
      </c>
      <c r="F47" s="14">
        <v>1</v>
      </c>
      <c r="G47" s="14" t="s">
        <v>25</v>
      </c>
      <c r="H47" s="14" t="s">
        <v>315</v>
      </c>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4"/>
      <c r="AJ47" s="14"/>
      <c r="AK47" s="14"/>
      <c r="AL47" s="14"/>
      <c r="AM47" s="14"/>
      <c r="AN47" s="14"/>
      <c r="AO47" s="14"/>
      <c r="AP47" s="14"/>
      <c r="AQ47" s="14"/>
      <c r="AR47" s="17" t="s">
        <v>550</v>
      </c>
      <c r="AS47" s="14"/>
      <c r="AT47" s="14"/>
      <c r="AU47" s="14"/>
      <c r="AV47" s="14"/>
      <c r="AW47" s="14"/>
      <c r="AX47" s="14"/>
    </row>
    <row r="48" ht="16" customHeight="1" spans="1:50" x14ac:dyDescent="0.25">
      <c r="A48" s="14" t="s">
        <v>326</v>
      </c>
      <c r="B48" s="14" t="s">
        <v>327</v>
      </c>
      <c r="C48" s="14" t="s">
        <v>31</v>
      </c>
      <c r="D48" s="16">
        <v>46189</v>
      </c>
      <c r="E48" s="16">
        <v>46190</v>
      </c>
      <c r="F48" s="14">
        <v>2</v>
      </c>
      <c r="G48" s="14" t="s">
        <v>25</v>
      </c>
      <c r="H48" s="14" t="s">
        <v>330</v>
      </c>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7" t="s">
        <v>550</v>
      </c>
      <c r="AT48" s="17" t="s">
        <v>550</v>
      </c>
      <c r="AU48" s="14"/>
      <c r="AV48" s="14"/>
      <c r="AW48" s="14"/>
      <c r="AX48" s="14"/>
    </row>
    <row r="49" ht="16" customHeight="1" spans="1:50" x14ac:dyDescent="0.25">
      <c r="A49" s="14" t="s">
        <v>332</v>
      </c>
      <c r="B49" s="14" t="s">
        <v>334</v>
      </c>
      <c r="C49" s="14" t="s">
        <v>31</v>
      </c>
      <c r="D49" s="16">
        <v>46188</v>
      </c>
      <c r="E49" s="16">
        <v>46189</v>
      </c>
      <c r="F49" s="14">
        <v>2</v>
      </c>
      <c r="G49" s="14" t="s">
        <v>25</v>
      </c>
      <c r="H49" s="14" t="s">
        <v>337</v>
      </c>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7" t="s">
        <v>550</v>
      </c>
      <c r="AS49" s="17" t="s">
        <v>550</v>
      </c>
      <c r="AT49" s="14"/>
      <c r="AU49" s="14"/>
      <c r="AV49" s="14"/>
      <c r="AW49" s="14"/>
      <c r="AX49" s="14"/>
    </row>
    <row r="50" ht="16" customHeight="1" spans="1:50" x14ac:dyDescent="0.25">
      <c r="A50" s="14" t="s">
        <v>339</v>
      </c>
      <c r="B50" s="14" t="s">
        <v>340</v>
      </c>
      <c r="C50" s="14" t="s">
        <v>31</v>
      </c>
      <c r="D50" s="16">
        <v>46189</v>
      </c>
      <c r="E50" s="16">
        <v>46190</v>
      </c>
      <c r="F50" s="14">
        <v>2</v>
      </c>
      <c r="G50" s="14" t="s">
        <v>25</v>
      </c>
      <c r="H50" s="14" t="s">
        <v>303</v>
      </c>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7" t="s">
        <v>550</v>
      </c>
      <c r="AT50" s="17" t="s">
        <v>550</v>
      </c>
      <c r="AU50" s="14"/>
      <c r="AV50" s="14"/>
      <c r="AW50" s="14"/>
      <c r="AX50" s="14"/>
    </row>
    <row r="51" ht="16" customHeight="1" spans="1:50" x14ac:dyDescent="0.25">
      <c r="A51" s="14" t="s">
        <v>344</v>
      </c>
      <c r="B51" s="14" t="s">
        <v>346</v>
      </c>
      <c r="C51" s="14" t="s">
        <v>31</v>
      </c>
      <c r="D51" s="16">
        <v>46190</v>
      </c>
      <c r="E51" s="16">
        <v>46191</v>
      </c>
      <c r="F51" s="14">
        <v>2</v>
      </c>
      <c r="G51" s="14" t="s">
        <v>25</v>
      </c>
      <c r="H51" s="14" t="s">
        <v>226</v>
      </c>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7" t="s">
        <v>550</v>
      </c>
      <c r="AU51" s="17" t="s">
        <v>550</v>
      </c>
      <c r="AV51" s="14"/>
      <c r="AW51" s="14"/>
      <c r="AX51" s="14"/>
    </row>
    <row r="52" ht="16" customHeight="1" spans="1:50" x14ac:dyDescent="0.25">
      <c r="A52" s="14" t="s">
        <v>350</v>
      </c>
      <c r="B52" s="14" t="s">
        <v>351</v>
      </c>
      <c r="C52" s="14" t="s">
        <v>31</v>
      </c>
      <c r="D52" s="16">
        <v>46191</v>
      </c>
      <c r="E52" s="16">
        <v>46191</v>
      </c>
      <c r="F52" s="14">
        <v>1</v>
      </c>
      <c r="G52" s="14" t="s">
        <v>25</v>
      </c>
      <c r="H52" s="14" t="s">
        <v>354</v>
      </c>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7" t="s">
        <v>550</v>
      </c>
      <c r="AV52" s="14"/>
      <c r="AW52" s="14"/>
      <c r="AX52" s="14"/>
    </row>
    <row r="53" ht="16" customHeight="1" spans="1:50" x14ac:dyDescent="0.25">
      <c r="A53" s="14" t="s">
        <v>356</v>
      </c>
      <c r="B53" s="14" t="s">
        <v>358</v>
      </c>
      <c r="C53" s="14" t="s">
        <v>32</v>
      </c>
      <c r="D53" s="16">
        <v>46193</v>
      </c>
      <c r="E53" s="16">
        <v>46194</v>
      </c>
      <c r="F53" s="14">
        <v>2</v>
      </c>
      <c r="G53" s="14" t="s">
        <v>25</v>
      </c>
      <c r="H53" s="14" t="s">
        <v>361</v>
      </c>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7" t="s">
        <v>550</v>
      </c>
      <c r="AX53" s="17" t="s">
        <v>550</v>
      </c>
    </row>
    <row r="54" ht="16" customHeight="1" spans="1:50" x14ac:dyDescent="0.25">
      <c r="A54" s="14" t="s">
        <v>363</v>
      </c>
      <c r="B54" s="14" t="s">
        <v>364</v>
      </c>
      <c r="C54" s="14" t="s">
        <v>32</v>
      </c>
      <c r="D54" s="16">
        <v>46194</v>
      </c>
      <c r="E54" s="16">
        <v>46195</v>
      </c>
      <c r="F54" s="14">
        <v>2</v>
      </c>
      <c r="G54" s="14" t="s">
        <v>25</v>
      </c>
      <c r="H54" s="14" t="s">
        <v>356</v>
      </c>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7" t="s">
        <v>550</v>
      </c>
    </row>
    <row r="55" ht="32" customHeight="1" spans="1:50" x14ac:dyDescent="0.25">
      <c r="A55" s="14" t="s">
        <v>368</v>
      </c>
      <c r="B55" s="14" t="s">
        <v>369</v>
      </c>
      <c r="C55" s="14" t="s">
        <v>32</v>
      </c>
      <c r="D55" s="16">
        <v>46195</v>
      </c>
      <c r="E55" s="16">
        <v>46196</v>
      </c>
      <c r="F55" s="14">
        <v>2</v>
      </c>
      <c r="G55" s="14" t="s">
        <v>25</v>
      </c>
      <c r="H55" s="14" t="s">
        <v>372</v>
      </c>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row>
    <row r="56" ht="16" customHeight="1" spans="1:50" x14ac:dyDescent="0.25">
      <c r="A56" s="14" t="s">
        <v>374</v>
      </c>
      <c r="B56" s="14" t="s">
        <v>376</v>
      </c>
      <c r="C56" s="14" t="s">
        <v>32</v>
      </c>
      <c r="D56" s="16">
        <v>46196</v>
      </c>
      <c r="E56" s="16">
        <v>46197</v>
      </c>
      <c r="F56" s="14">
        <v>2</v>
      </c>
      <c r="G56" s="14" t="s">
        <v>25</v>
      </c>
      <c r="H56" s="14" t="s">
        <v>380</v>
      </c>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row>
    <row r="57" ht="16" customHeight="1" spans="1:50" x14ac:dyDescent="0.25">
      <c r="A57" s="14" t="s">
        <v>382</v>
      </c>
      <c r="B57" s="14" t="s">
        <v>383</v>
      </c>
      <c r="C57" s="14" t="s">
        <v>32</v>
      </c>
      <c r="D57" s="16">
        <v>46197</v>
      </c>
      <c r="E57" s="16">
        <v>46198</v>
      </c>
      <c r="F57" s="14">
        <v>2</v>
      </c>
      <c r="G57" s="14" t="s">
        <v>25</v>
      </c>
      <c r="H57" s="14" t="s">
        <v>386</v>
      </c>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row>
    <row r="58" ht="16" customHeight="1" spans="1:50" x14ac:dyDescent="0.25">
      <c r="A58" s="14" t="s">
        <v>388</v>
      </c>
      <c r="B58" s="14" t="s">
        <v>389</v>
      </c>
      <c r="C58" s="14" t="s">
        <v>32</v>
      </c>
      <c r="D58" s="16">
        <v>46198</v>
      </c>
      <c r="E58" s="16">
        <v>46199</v>
      </c>
      <c r="F58" s="14">
        <v>2</v>
      </c>
      <c r="G58" s="14" t="s">
        <v>25</v>
      </c>
      <c r="H58" s="14" t="s">
        <v>392</v>
      </c>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row>
    <row r="59" ht="16" customHeight="1" spans="1:50" x14ac:dyDescent="0.25">
      <c r="A59" s="14" t="s">
        <v>394</v>
      </c>
      <c r="B59" s="14" t="s">
        <v>395</v>
      </c>
      <c r="C59" s="14" t="s">
        <v>32</v>
      </c>
      <c r="D59" s="16">
        <v>46199</v>
      </c>
      <c r="E59" s="16">
        <v>46200</v>
      </c>
      <c r="F59" s="14">
        <v>2</v>
      </c>
      <c r="G59" s="14" t="s">
        <v>25</v>
      </c>
      <c r="H59" s="14" t="s">
        <v>398</v>
      </c>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row>
    <row r="60" ht="16" customHeight="1" spans="1:50" x14ac:dyDescent="0.25">
      <c r="A60" s="14" t="s">
        <v>400</v>
      </c>
      <c r="B60" s="14" t="s">
        <v>402</v>
      </c>
      <c r="C60" s="14" t="s">
        <v>33</v>
      </c>
      <c r="D60" s="16">
        <v>46201</v>
      </c>
      <c r="E60" s="16">
        <v>46202</v>
      </c>
      <c r="F60" s="14">
        <v>2</v>
      </c>
      <c r="G60" s="14" t="s">
        <v>25</v>
      </c>
      <c r="H60" s="14" t="s">
        <v>405</v>
      </c>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row>
    <row r="61" ht="16" customHeight="1" spans="1:50" x14ac:dyDescent="0.25">
      <c r="A61" s="14" t="s">
        <v>407</v>
      </c>
      <c r="B61" s="14" t="s">
        <v>408</v>
      </c>
      <c r="C61" s="14" t="s">
        <v>33</v>
      </c>
      <c r="D61" s="16">
        <v>46202</v>
      </c>
      <c r="E61" s="16">
        <v>46202</v>
      </c>
      <c r="F61" s="14">
        <v>1</v>
      </c>
      <c r="G61" s="14" t="s">
        <v>25</v>
      </c>
      <c r="H61" s="14" t="s">
        <v>400</v>
      </c>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row>
    <row r="62" ht="16" customHeight="1" spans="1:50" x14ac:dyDescent="0.25">
      <c r="A62" s="14" t="s">
        <v>412</v>
      </c>
      <c r="B62" s="14" t="s">
        <v>413</v>
      </c>
      <c r="C62" s="14" t="s">
        <v>33</v>
      </c>
      <c r="D62" s="16">
        <v>46202</v>
      </c>
      <c r="E62" s="16">
        <v>46203</v>
      </c>
      <c r="F62" s="14">
        <v>2</v>
      </c>
      <c r="G62" s="14" t="s">
        <v>25</v>
      </c>
      <c r="H62" s="14" t="s">
        <v>400</v>
      </c>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row>
    <row r="63" ht="16" customHeight="1" spans="1:50" x14ac:dyDescent="0.25">
      <c r="A63" s="14" t="s">
        <v>417</v>
      </c>
      <c r="B63" s="14" t="s">
        <v>418</v>
      </c>
      <c r="C63" s="14" t="s">
        <v>33</v>
      </c>
      <c r="D63" s="16">
        <v>46203</v>
      </c>
      <c r="E63" s="16">
        <v>46204</v>
      </c>
      <c r="F63" s="14">
        <v>2</v>
      </c>
      <c r="G63" s="14" t="s">
        <v>25</v>
      </c>
      <c r="H63" s="14" t="s">
        <v>421</v>
      </c>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row>
    <row r="64" ht="16" customHeight="1" spans="1:50" x14ac:dyDescent="0.25">
      <c r="A64" s="14" t="s">
        <v>423</v>
      </c>
      <c r="B64" s="14" t="s">
        <v>424</v>
      </c>
      <c r="C64" s="14" t="s">
        <v>33</v>
      </c>
      <c r="D64" s="16">
        <v>46205</v>
      </c>
      <c r="E64" s="16">
        <v>46205</v>
      </c>
      <c r="F64" s="14">
        <v>1</v>
      </c>
      <c r="G64" s="14" t="s">
        <v>25</v>
      </c>
      <c r="H64" s="14" t="s">
        <v>427</v>
      </c>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row>
    <row r="65" ht="16" customHeight="1" spans="1:50" x14ac:dyDescent="0.25">
      <c r="A65" s="14" t="s">
        <v>429</v>
      </c>
      <c r="B65" s="14" t="s">
        <v>431</v>
      </c>
      <c r="C65" s="14" t="s">
        <v>33</v>
      </c>
      <c r="D65" s="16">
        <v>46206</v>
      </c>
      <c r="E65" s="16">
        <v>46206</v>
      </c>
      <c r="F65" s="14">
        <v>1</v>
      </c>
      <c r="G65" s="14" t="s">
        <v>25</v>
      </c>
      <c r="H65" s="14" t="s">
        <v>435</v>
      </c>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row>
    <row r="66" ht="16" customHeight="1" spans="1:50" x14ac:dyDescent="0.25">
      <c r="A66" s="14" t="s">
        <v>437</v>
      </c>
      <c r="B66" s="14" t="s">
        <v>438</v>
      </c>
      <c r="C66" s="14" t="s">
        <v>33</v>
      </c>
      <c r="D66" s="16">
        <v>46206</v>
      </c>
      <c r="E66" s="16">
        <v>46207</v>
      </c>
      <c r="F66" s="14">
        <v>2</v>
      </c>
      <c r="G66" s="14" t="s">
        <v>25</v>
      </c>
      <c r="H66" s="14" t="s">
        <v>429</v>
      </c>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row>
    <row r="67" ht="16" customHeight="1" spans="1:50" x14ac:dyDescent="0.25">
      <c r="A67" s="14" t="s">
        <v>442</v>
      </c>
      <c r="B67" s="14" t="s">
        <v>444</v>
      </c>
      <c r="C67" s="14" t="s">
        <v>34</v>
      </c>
      <c r="D67" s="16">
        <v>46208</v>
      </c>
      <c r="E67" s="16">
        <v>46209</v>
      </c>
      <c r="F67" s="14">
        <v>2</v>
      </c>
      <c r="G67" s="14" t="s">
        <v>25</v>
      </c>
      <c r="H67" s="14" t="s">
        <v>429</v>
      </c>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row>
    <row r="68" ht="16" customHeight="1" spans="1:50" x14ac:dyDescent="0.25">
      <c r="A68" s="14" t="s">
        <v>448</v>
      </c>
      <c r="B68" s="14" t="s">
        <v>449</v>
      </c>
      <c r="C68" s="14" t="s">
        <v>34</v>
      </c>
      <c r="D68" s="16">
        <v>46210</v>
      </c>
      <c r="E68" s="16">
        <v>46211</v>
      </c>
      <c r="F68" s="14">
        <v>2</v>
      </c>
      <c r="G68" s="14" t="s">
        <v>25</v>
      </c>
      <c r="H68" s="14" t="s">
        <v>442</v>
      </c>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row>
    <row r="69" ht="16" customHeight="1" spans="1:50" x14ac:dyDescent="0.25">
      <c r="A69" s="14" t="s">
        <v>453</v>
      </c>
      <c r="B69" s="14" t="s">
        <v>454</v>
      </c>
      <c r="C69" s="14" t="s">
        <v>34</v>
      </c>
      <c r="D69" s="16">
        <v>46212</v>
      </c>
      <c r="E69" s="16">
        <v>46213</v>
      </c>
      <c r="F69" s="14">
        <v>2</v>
      </c>
      <c r="G69" s="14" t="s">
        <v>25</v>
      </c>
      <c r="H69" s="14" t="s">
        <v>457</v>
      </c>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row>
    <row r="70" ht="16" customHeight="1" spans="1:50" x14ac:dyDescent="0.25">
      <c r="A70" s="14" t="s">
        <v>459</v>
      </c>
      <c r="B70" s="14" t="s">
        <v>461</v>
      </c>
      <c r="C70" s="14" t="s">
        <v>34</v>
      </c>
      <c r="D70" s="16">
        <v>46214</v>
      </c>
      <c r="E70" s="16">
        <v>46216</v>
      </c>
      <c r="F70" s="14">
        <v>3</v>
      </c>
      <c r="G70" s="14" t="s">
        <v>25</v>
      </c>
      <c r="H70" s="14" t="s">
        <v>465</v>
      </c>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row>
    <row r="71" ht="16" customHeight="1" spans="1:50" x14ac:dyDescent="0.25">
      <c r="A71" s="14" t="s">
        <v>467</v>
      </c>
      <c r="B71" s="14" t="s">
        <v>468</v>
      </c>
      <c r="C71" s="14" t="s">
        <v>34</v>
      </c>
      <c r="D71" s="16">
        <v>46215</v>
      </c>
      <c r="E71" s="16">
        <v>46216</v>
      </c>
      <c r="F71" s="14">
        <v>2</v>
      </c>
      <c r="G71" s="14" t="s">
        <v>25</v>
      </c>
      <c r="H71" s="14" t="s">
        <v>471</v>
      </c>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row>
  </sheetData>
  <autoFilter ref="A1:AX71"/>
  <conditionalFormatting sqref="G2:G71">
    <cfRule type="expression" dxfId="10" priority="1">
      <formula>$G2="Done"</formula>
    </cfRule>
    <cfRule type="expression" dxfId="11" priority="2">
      <formula>$G2="In Progress"</formula>
    </cfRule>
    <cfRule type="expression" dxfId="12" priority="3">
      <formula>$G2="Blocked"</formula>
    </cfRule>
    <cfRule type="expression" dxfId="13" priority="4">
      <formula>$G2="Review"</formula>
    </cfRule>
    <cfRule type="expression" dxfId="14" priority="5">
      <formula>$G2="Todo"</formula>
    </cfRule>
  </conditionalFormatting>
  <dataValidations count="2">
    <dataValidation type="list" allowBlank="1" sqref="G10:G71">
      <formula1>"Todo,In Progress,Blocked,Review,Done"</formula1>
    </dataValidation>
    <dataValidation type="list" allowBlank="1" sqref="G2:G7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1"/>
  <sheetViews>
    <sheetView workbookViewId="0" showGridLines="0" zoomScale="100" zoomScaleNormal="100">
      <pane ySplit="1" topLeftCell="A2" activePane="bottomLeft" state="frozen"/>
      <selection pane="bottomLeft" activeCell="K15" sqref="K15"/>
    </sheetView>
  </sheetViews>
  <sheetFormatPr defaultRowHeight="15" outlineLevelRow="0" outlineLevelCol="0" x14ac:dyDescent="0.2" defaultColWidth="8.83203125"/>
  <cols>
    <col min="1" max="1" width="12" customWidth="1"/>
    <col min="2" max="2" width="35" customWidth="1"/>
    <col min="3" max="3" width="28" customWidth="1"/>
    <col min="4" max="4" width="45" customWidth="1"/>
    <col min="5" max="5" width="16" customWidth="1"/>
    <col min="6" max="6" width="24" customWidth="1"/>
  </cols>
  <sheetData>
    <row r="1" ht="16" customHeight="1" spans="1:6" x14ac:dyDescent="0.25">
      <c r="A1" s="10" t="s">
        <v>35</v>
      </c>
      <c r="B1" s="10" t="s">
        <v>551</v>
      </c>
      <c r="C1" s="10" t="s">
        <v>552</v>
      </c>
      <c r="D1" s="10" t="s">
        <v>553</v>
      </c>
      <c r="E1" s="10" t="s">
        <v>554</v>
      </c>
      <c r="F1" s="10" t="s">
        <v>555</v>
      </c>
    </row>
    <row r="2" ht="16" customHeight="1" spans="1:6" x14ac:dyDescent="0.25">
      <c r="A2" s="14" t="s">
        <v>49</v>
      </c>
      <c r="B2" s="14" t="s">
        <v>51</v>
      </c>
      <c r="C2" s="14"/>
      <c r="D2" s="14" t="s">
        <v>556</v>
      </c>
      <c r="E2" s="14" t="s">
        <v>462</v>
      </c>
      <c r="F2" s="14" t="s">
        <v>13</v>
      </c>
    </row>
    <row r="3" ht="16" customHeight="1" spans="1:6" x14ac:dyDescent="0.25">
      <c r="A3" s="14" t="s">
        <v>57</v>
      </c>
      <c r="B3" s="14" t="s">
        <v>58</v>
      </c>
      <c r="C3" s="14" t="s">
        <v>49</v>
      </c>
      <c r="D3" s="14" t="s">
        <v>557</v>
      </c>
      <c r="E3" s="14" t="s">
        <v>184</v>
      </c>
      <c r="F3" s="14" t="s">
        <v>13</v>
      </c>
    </row>
    <row r="4" ht="16" customHeight="1" spans="1:6" x14ac:dyDescent="0.25">
      <c r="A4" s="14" t="s">
        <v>63</v>
      </c>
      <c r="B4" s="14" t="s">
        <v>64</v>
      </c>
      <c r="C4" s="14" t="s">
        <v>49</v>
      </c>
      <c r="D4" s="14" t="s">
        <v>557</v>
      </c>
      <c r="E4" s="14" t="s">
        <v>184</v>
      </c>
      <c r="F4" s="14" t="s">
        <v>13</v>
      </c>
    </row>
    <row r="5" ht="16" customHeight="1" spans="1:6" x14ac:dyDescent="0.25">
      <c r="A5" s="14" t="s">
        <v>69</v>
      </c>
      <c r="B5" s="14" t="s">
        <v>70</v>
      </c>
      <c r="C5" s="14" t="s">
        <v>74</v>
      </c>
      <c r="D5" s="14" t="s">
        <v>557</v>
      </c>
      <c r="E5" s="14" t="s">
        <v>184</v>
      </c>
      <c r="F5" s="14" t="str">
        <f>IF(COUNTA(C2)=0,"Ready","Check dependency status")</f>
        <v>Ready</v>
      </c>
    </row>
    <row r="6" ht="16" customHeight="1" spans="1:6" x14ac:dyDescent="0.25">
      <c r="A6" s="14" t="s">
        <v>76</v>
      </c>
      <c r="B6" s="14" t="s">
        <v>77</v>
      </c>
      <c r="C6" s="14" t="s">
        <v>74</v>
      </c>
      <c r="D6" s="14" t="s">
        <v>557</v>
      </c>
      <c r="E6" s="14" t="s">
        <v>184</v>
      </c>
      <c r="F6" s="14" t="str">
        <f>IF(COUNTA(C2)=0,"Ready","Check dependency status")</f>
        <v>Ready</v>
      </c>
    </row>
    <row r="7" ht="16" customHeight="1" spans="1:6" x14ac:dyDescent="0.25">
      <c r="A7" s="14" t="s">
        <v>81</v>
      </c>
      <c r="B7" s="14" t="s">
        <v>83</v>
      </c>
      <c r="C7" s="14" t="s">
        <v>69</v>
      </c>
      <c r="D7" s="14" t="s">
        <v>557</v>
      </c>
      <c r="E7" s="14" t="s">
        <v>184</v>
      </c>
      <c r="F7" s="14" t="str">
        <f>IF(COUNTA(C2)=0,"Ready","Check dependency status")</f>
        <v>Ready</v>
      </c>
    </row>
    <row r="8" ht="16" customHeight="1" spans="1:6" x14ac:dyDescent="0.25">
      <c r="A8" s="14" t="s">
        <v>88</v>
      </c>
      <c r="B8" s="14" t="s">
        <v>89</v>
      </c>
      <c r="C8" s="14" t="s">
        <v>81</v>
      </c>
      <c r="D8" s="14" t="s">
        <v>557</v>
      </c>
      <c r="E8" s="14" t="s">
        <v>184</v>
      </c>
      <c r="F8" s="14" t="str">
        <f>IF(COUNTA(C2)=0,"Ready","Check dependency status")</f>
        <v>Ready</v>
      </c>
    </row>
    <row r="9" ht="16" customHeight="1" spans="1:6" x14ac:dyDescent="0.25">
      <c r="A9" s="14" t="s">
        <v>93</v>
      </c>
      <c r="B9" s="14" t="s">
        <v>95</v>
      </c>
      <c r="C9" s="14" t="s">
        <v>63</v>
      </c>
      <c r="D9" s="14" t="s">
        <v>557</v>
      </c>
      <c r="E9" s="14" t="s">
        <v>184</v>
      </c>
      <c r="F9" s="14" t="str">
        <f>IF(COUNTA(C2)=0,"Ready","Check dependency status")</f>
        <v>Ready</v>
      </c>
    </row>
    <row r="10" ht="16" customHeight="1" spans="1:6" x14ac:dyDescent="0.25">
      <c r="A10" s="14" t="s">
        <v>99</v>
      </c>
      <c r="B10" s="14" t="s">
        <v>100</v>
      </c>
      <c r="C10" s="14" t="s">
        <v>57</v>
      </c>
      <c r="D10" s="14" t="s">
        <v>557</v>
      </c>
      <c r="E10" s="14" t="s">
        <v>184</v>
      </c>
      <c r="F10" s="14" t="str">
        <f>IF(COUNTA(C2)=0,"Ready","Check dependency status")</f>
        <v>Ready</v>
      </c>
    </row>
    <row r="11" ht="16" customHeight="1" spans="1:6" x14ac:dyDescent="0.25">
      <c r="A11" s="14" t="s">
        <v>104</v>
      </c>
      <c r="B11" s="14" t="s">
        <v>106</v>
      </c>
      <c r="C11" s="14" t="s">
        <v>88</v>
      </c>
      <c r="D11" s="14" t="s">
        <v>557</v>
      </c>
      <c r="E11" s="14" t="s">
        <v>184</v>
      </c>
      <c r="F11" s="14" t="str">
        <f>IF(COUNTA(C2)=0,"Ready","Check dependency status")</f>
        <v>Ready</v>
      </c>
    </row>
    <row r="12" ht="16" customHeight="1" spans="1:6" x14ac:dyDescent="0.25">
      <c r="A12" s="14" t="s">
        <v>110</v>
      </c>
      <c r="B12" s="14" t="s">
        <v>111</v>
      </c>
      <c r="C12" s="14" t="s">
        <v>104</v>
      </c>
      <c r="D12" s="14" t="s">
        <v>557</v>
      </c>
      <c r="E12" s="14" t="s">
        <v>184</v>
      </c>
      <c r="F12" s="14" t="str">
        <f>IF(COUNTA(C2)=0,"Ready","Check dependency status")</f>
        <v>Ready</v>
      </c>
    </row>
    <row r="13" ht="16" customHeight="1" spans="1:6" x14ac:dyDescent="0.25">
      <c r="A13" s="14" t="s">
        <v>115</v>
      </c>
      <c r="B13" s="14" t="s">
        <v>116</v>
      </c>
      <c r="C13" s="14" t="s">
        <v>104</v>
      </c>
      <c r="D13" s="14" t="s">
        <v>557</v>
      </c>
      <c r="E13" s="14" t="s">
        <v>184</v>
      </c>
      <c r="F13" s="14" t="str">
        <f>IF(COUNTA(C2)=0,"Ready","Check dependency status")</f>
        <v>Ready</v>
      </c>
    </row>
    <row r="14" ht="16" customHeight="1" spans="1:6" x14ac:dyDescent="0.25">
      <c r="A14" s="14" t="s">
        <v>120</v>
      </c>
      <c r="B14" s="14" t="s">
        <v>121</v>
      </c>
      <c r="C14" s="14" t="s">
        <v>110</v>
      </c>
      <c r="D14" s="14" t="s">
        <v>557</v>
      </c>
      <c r="E14" s="14" t="s">
        <v>184</v>
      </c>
      <c r="F14" s="14" t="str">
        <f>IF(COUNTA(C2)=0,"Ready","Check dependency status")</f>
        <v>Ready</v>
      </c>
    </row>
    <row r="15" ht="32" customHeight="1" spans="1:6" x14ac:dyDescent="0.25">
      <c r="A15" s="14" t="s">
        <v>125</v>
      </c>
      <c r="B15" s="14" t="s">
        <v>127</v>
      </c>
      <c r="C15" s="14" t="s">
        <v>131</v>
      </c>
      <c r="D15" s="14" t="s">
        <v>557</v>
      </c>
      <c r="E15" s="14" t="s">
        <v>184</v>
      </c>
      <c r="F15" s="14" t="str">
        <f>IF(COUNTA(C2)=0,"Ready","Check dependency status")</f>
        <v>Ready</v>
      </c>
    </row>
    <row r="16" ht="16" customHeight="1" spans="1:6" x14ac:dyDescent="0.25">
      <c r="A16" s="14" t="s">
        <v>133</v>
      </c>
      <c r="B16" s="14" t="s">
        <v>134</v>
      </c>
      <c r="C16" s="14" t="s">
        <v>137</v>
      </c>
      <c r="D16" s="14" t="s">
        <v>557</v>
      </c>
      <c r="E16" s="14" t="s">
        <v>184</v>
      </c>
      <c r="F16" s="14" t="str">
        <f>IF(COUNTA(C2)=0,"Ready","Check dependency status")</f>
        <v>Ready</v>
      </c>
    </row>
    <row r="17" ht="16" customHeight="1" spans="1:6" x14ac:dyDescent="0.25">
      <c r="A17" s="14" t="s">
        <v>139</v>
      </c>
      <c r="B17" s="14" t="s">
        <v>140</v>
      </c>
      <c r="C17" s="14" t="s">
        <v>143</v>
      </c>
      <c r="D17" s="14" t="s">
        <v>557</v>
      </c>
      <c r="E17" s="14" t="s">
        <v>184</v>
      </c>
      <c r="F17" s="14" t="str">
        <f>IF(COUNTA(C2)=0,"Ready","Check dependency status")</f>
        <v>Ready</v>
      </c>
    </row>
    <row r="18" ht="16" customHeight="1" spans="1:6" x14ac:dyDescent="0.25">
      <c r="A18" s="14" t="s">
        <v>145</v>
      </c>
      <c r="B18" s="14" t="s">
        <v>147</v>
      </c>
      <c r="C18" s="14" t="s">
        <v>150</v>
      </c>
      <c r="D18" s="14" t="s">
        <v>557</v>
      </c>
      <c r="E18" s="14" t="s">
        <v>184</v>
      </c>
      <c r="F18" s="14" t="str">
        <f>IF(COUNTA(C2)=0,"Ready","Check dependency status")</f>
        <v>Ready</v>
      </c>
    </row>
    <row r="19" ht="16" customHeight="1" spans="1:6" x14ac:dyDescent="0.25">
      <c r="A19" s="14" t="s">
        <v>152</v>
      </c>
      <c r="B19" s="14" t="s">
        <v>154</v>
      </c>
      <c r="C19" s="14" t="s">
        <v>139</v>
      </c>
      <c r="D19" s="14" t="s">
        <v>557</v>
      </c>
      <c r="E19" s="14" t="s">
        <v>184</v>
      </c>
      <c r="F19" s="14" t="str">
        <f>IF(COUNTA(C2)=0,"Ready","Check dependency status")</f>
        <v>Ready</v>
      </c>
    </row>
    <row r="20" ht="16" customHeight="1" spans="1:6" x14ac:dyDescent="0.25">
      <c r="A20" s="14" t="s">
        <v>158</v>
      </c>
      <c r="B20" s="14" t="s">
        <v>160</v>
      </c>
      <c r="C20" s="14" t="s">
        <v>125</v>
      </c>
      <c r="D20" s="14" t="s">
        <v>557</v>
      </c>
      <c r="E20" s="14" t="s">
        <v>184</v>
      </c>
      <c r="F20" s="14" t="str">
        <f>IF(COUNTA(C2)=0,"Ready","Check dependency status")</f>
        <v>Ready</v>
      </c>
    </row>
    <row r="21" ht="16" customHeight="1" spans="1:6" x14ac:dyDescent="0.25">
      <c r="A21" s="14" t="s">
        <v>164</v>
      </c>
      <c r="B21" s="14" t="s">
        <v>165</v>
      </c>
      <c r="C21" s="14" t="s">
        <v>168</v>
      </c>
      <c r="D21" s="14" t="s">
        <v>557</v>
      </c>
      <c r="E21" s="14" t="s">
        <v>184</v>
      </c>
      <c r="F21" s="14" t="str">
        <f>IF(COUNTA(C2)=0,"Ready","Check dependency status")</f>
        <v>Ready</v>
      </c>
    </row>
    <row r="22" ht="16" customHeight="1" spans="1:6" x14ac:dyDescent="0.25">
      <c r="A22" s="14" t="s">
        <v>170</v>
      </c>
      <c r="B22" s="14" t="s">
        <v>171</v>
      </c>
      <c r="C22" s="14" t="s">
        <v>164</v>
      </c>
      <c r="D22" s="14" t="s">
        <v>557</v>
      </c>
      <c r="E22" s="14" t="s">
        <v>184</v>
      </c>
      <c r="F22" s="14" t="str">
        <f>IF(COUNTA(C2)=0,"Ready","Check dependency status")</f>
        <v>Ready</v>
      </c>
    </row>
    <row r="23" ht="16" customHeight="1" spans="1:6" x14ac:dyDescent="0.25">
      <c r="A23" s="14" t="s">
        <v>175</v>
      </c>
      <c r="B23" s="14" t="s">
        <v>177</v>
      </c>
      <c r="C23" s="14" t="s">
        <v>152</v>
      </c>
      <c r="D23" s="14" t="s">
        <v>557</v>
      </c>
      <c r="E23" s="14" t="s">
        <v>184</v>
      </c>
      <c r="F23" s="14" t="str">
        <f>IF(COUNTA(C2)=0,"Ready","Check dependency status")</f>
        <v>Ready</v>
      </c>
    </row>
    <row r="24" ht="16" customHeight="1" spans="1:6" x14ac:dyDescent="0.25">
      <c r="A24" s="14" t="s">
        <v>182</v>
      </c>
      <c r="B24" s="14" t="s">
        <v>183</v>
      </c>
      <c r="C24" s="14" t="s">
        <v>187</v>
      </c>
      <c r="D24" s="14" t="s">
        <v>557</v>
      </c>
      <c r="E24" s="14" t="s">
        <v>184</v>
      </c>
      <c r="F24" s="14" t="str">
        <f>IF(COUNTA(C2)=0,"Ready","Check dependency status")</f>
        <v>Ready</v>
      </c>
    </row>
    <row r="25" ht="16" customHeight="1" spans="1:6" x14ac:dyDescent="0.25">
      <c r="A25" s="14" t="s">
        <v>189</v>
      </c>
      <c r="B25" s="14" t="s">
        <v>191</v>
      </c>
      <c r="C25" s="14" t="s">
        <v>145</v>
      </c>
      <c r="D25" s="14" t="s">
        <v>557</v>
      </c>
      <c r="E25" s="14" t="s">
        <v>184</v>
      </c>
      <c r="F25" s="14" t="str">
        <f>IF(COUNTA(C2)=0,"Ready","Check dependency status")</f>
        <v>Ready</v>
      </c>
    </row>
    <row r="26" ht="16" customHeight="1" spans="1:6" x14ac:dyDescent="0.25">
      <c r="A26" s="14" t="s">
        <v>195</v>
      </c>
      <c r="B26" s="14" t="s">
        <v>197</v>
      </c>
      <c r="C26" s="14" t="s">
        <v>201</v>
      </c>
      <c r="D26" s="14" t="s">
        <v>557</v>
      </c>
      <c r="E26" s="14" t="s">
        <v>184</v>
      </c>
      <c r="F26" s="14" t="str">
        <f>IF(COUNTA(C2)=0,"Ready","Check dependency status")</f>
        <v>Ready</v>
      </c>
    </row>
    <row r="27" ht="16" customHeight="1" spans="1:6" x14ac:dyDescent="0.25">
      <c r="A27" s="14" t="s">
        <v>203</v>
      </c>
      <c r="B27" s="14" t="s">
        <v>205</v>
      </c>
      <c r="C27" s="14" t="s">
        <v>125</v>
      </c>
      <c r="D27" s="14" t="s">
        <v>557</v>
      </c>
      <c r="E27" s="14" t="s">
        <v>184</v>
      </c>
      <c r="F27" s="14" t="str">
        <f>IF(COUNTA(C2)=0,"Ready","Check dependency status")</f>
        <v>Ready</v>
      </c>
    </row>
    <row r="28" ht="16" customHeight="1" spans="1:6" x14ac:dyDescent="0.25">
      <c r="A28" s="14" t="s">
        <v>209</v>
      </c>
      <c r="B28" s="14" t="s">
        <v>210</v>
      </c>
      <c r="C28" s="14" t="s">
        <v>203</v>
      </c>
      <c r="D28" s="14" t="s">
        <v>557</v>
      </c>
      <c r="E28" s="14" t="s">
        <v>184</v>
      </c>
      <c r="F28" s="14" t="str">
        <f>IF(COUNTA(C2)=0,"Ready","Check dependency status")</f>
        <v>Ready</v>
      </c>
    </row>
    <row r="29" ht="16" customHeight="1" spans="1:6" x14ac:dyDescent="0.25">
      <c r="A29" s="14" t="s">
        <v>214</v>
      </c>
      <c r="B29" s="14" t="s">
        <v>216</v>
      </c>
      <c r="C29" s="14" t="s">
        <v>203</v>
      </c>
      <c r="D29" s="14" t="s">
        <v>557</v>
      </c>
      <c r="E29" s="14" t="s">
        <v>184</v>
      </c>
      <c r="F29" s="14" t="str">
        <f>IF(COUNTA(C2)=0,"Ready","Check dependency status")</f>
        <v>Ready</v>
      </c>
    </row>
    <row r="30" ht="16" customHeight="1" spans="1:6" x14ac:dyDescent="0.25">
      <c r="A30" s="14" t="s">
        <v>220</v>
      </c>
      <c r="B30" s="14" t="s">
        <v>221</v>
      </c>
      <c r="C30" s="14" t="s">
        <v>224</v>
      </c>
      <c r="D30" s="14" t="s">
        <v>557</v>
      </c>
      <c r="E30" s="14" t="s">
        <v>184</v>
      </c>
      <c r="F30" s="14" t="str">
        <f>IF(COUNTA(C2)=0,"Ready","Check dependency status")</f>
        <v>Ready</v>
      </c>
    </row>
    <row r="31" ht="16" customHeight="1" spans="1:6" x14ac:dyDescent="0.25">
      <c r="A31" s="14" t="s">
        <v>226</v>
      </c>
      <c r="B31" s="14" t="s">
        <v>227</v>
      </c>
      <c r="C31" s="14" t="s">
        <v>220</v>
      </c>
      <c r="D31" s="14" t="s">
        <v>557</v>
      </c>
      <c r="E31" s="14" t="s">
        <v>184</v>
      </c>
      <c r="F31" s="14" t="str">
        <f>IF(COUNTA(C2)=0,"Ready","Check dependency status")</f>
        <v>Ready</v>
      </c>
    </row>
    <row r="32" ht="16" customHeight="1" spans="1:6" x14ac:dyDescent="0.25">
      <c r="A32" s="14" t="s">
        <v>231</v>
      </c>
      <c r="B32" s="14" t="s">
        <v>232</v>
      </c>
      <c r="C32" s="14" t="s">
        <v>226</v>
      </c>
      <c r="D32" s="14" t="s">
        <v>557</v>
      </c>
      <c r="E32" s="14" t="s">
        <v>184</v>
      </c>
      <c r="F32" s="14" t="str">
        <f>IF(COUNTA(C2)=0,"Ready","Check dependency status")</f>
        <v>Ready</v>
      </c>
    </row>
    <row r="33" ht="16" customHeight="1" spans="1:6" x14ac:dyDescent="0.25">
      <c r="A33" s="14" t="s">
        <v>236</v>
      </c>
      <c r="B33" s="14" t="s">
        <v>237</v>
      </c>
      <c r="C33" s="14" t="s">
        <v>240</v>
      </c>
      <c r="D33" s="14" t="s">
        <v>557</v>
      </c>
      <c r="E33" s="14" t="s">
        <v>184</v>
      </c>
      <c r="F33" s="14" t="str">
        <f>IF(COUNTA(C2)=0,"Ready","Check dependency status")</f>
        <v>Ready</v>
      </c>
    </row>
    <row r="34" ht="16" customHeight="1" spans="1:6" x14ac:dyDescent="0.25">
      <c r="A34" s="14" t="s">
        <v>242</v>
      </c>
      <c r="B34" s="14" t="s">
        <v>244</v>
      </c>
      <c r="C34" s="14" t="s">
        <v>247</v>
      </c>
      <c r="D34" s="14" t="s">
        <v>557</v>
      </c>
      <c r="E34" s="14" t="s">
        <v>184</v>
      </c>
      <c r="F34" s="14" t="str">
        <f>IF(COUNTA(C2)=0,"Ready","Check dependency status")</f>
        <v>Ready</v>
      </c>
    </row>
    <row r="35" ht="16" customHeight="1" spans="1:6" x14ac:dyDescent="0.25">
      <c r="A35" s="14" t="s">
        <v>249</v>
      </c>
      <c r="B35" s="14" t="s">
        <v>250</v>
      </c>
      <c r="C35" s="14" t="s">
        <v>253</v>
      </c>
      <c r="D35" s="14" t="s">
        <v>557</v>
      </c>
      <c r="E35" s="14" t="s">
        <v>184</v>
      </c>
      <c r="F35" s="14" t="str">
        <f>IF(COUNTA(C2)=0,"Ready","Check dependency status")</f>
        <v>Ready</v>
      </c>
    </row>
    <row r="36" ht="16" customHeight="1" spans="1:6" x14ac:dyDescent="0.25">
      <c r="A36" s="14" t="s">
        <v>255</v>
      </c>
      <c r="B36" s="14" t="s">
        <v>256</v>
      </c>
      <c r="C36" s="14" t="s">
        <v>259</v>
      </c>
      <c r="D36" s="14" t="s">
        <v>557</v>
      </c>
      <c r="E36" s="14" t="s">
        <v>184</v>
      </c>
      <c r="F36" s="14" t="str">
        <f>IF(COUNTA(C2)=0,"Ready","Check dependency status")</f>
        <v>Ready</v>
      </c>
    </row>
    <row r="37" ht="16" customHeight="1" spans="1:6" x14ac:dyDescent="0.25">
      <c r="A37" s="14" t="s">
        <v>261</v>
      </c>
      <c r="B37" s="14" t="s">
        <v>263</v>
      </c>
      <c r="C37" s="14" t="s">
        <v>125</v>
      </c>
      <c r="D37" s="14" t="s">
        <v>557</v>
      </c>
      <c r="E37" s="14" t="s">
        <v>184</v>
      </c>
      <c r="F37" s="14" t="str">
        <f>IF(COUNTA(C2)=0,"Ready","Check dependency status")</f>
        <v>Ready</v>
      </c>
    </row>
    <row r="38" ht="16" customHeight="1" spans="1:6" x14ac:dyDescent="0.25">
      <c r="A38" s="14" t="s">
        <v>267</v>
      </c>
      <c r="B38" s="14" t="s">
        <v>269</v>
      </c>
      <c r="C38" s="14" t="s">
        <v>272</v>
      </c>
      <c r="D38" s="14" t="s">
        <v>557</v>
      </c>
      <c r="E38" s="14" t="s">
        <v>184</v>
      </c>
      <c r="F38" s="14" t="str">
        <f>IF(COUNTA(C2)=0,"Ready","Check dependency status")</f>
        <v>Ready</v>
      </c>
    </row>
    <row r="39" ht="16" customHeight="1" spans="1:6" x14ac:dyDescent="0.25">
      <c r="A39" s="14" t="s">
        <v>274</v>
      </c>
      <c r="B39" s="14" t="s">
        <v>275</v>
      </c>
      <c r="C39" s="14" t="s">
        <v>267</v>
      </c>
      <c r="D39" s="14" t="s">
        <v>557</v>
      </c>
      <c r="E39" s="14" t="s">
        <v>184</v>
      </c>
      <c r="F39" s="14" t="str">
        <f>IF(COUNTA(C2)=0,"Ready","Check dependency status")</f>
        <v>Ready</v>
      </c>
    </row>
    <row r="40" ht="16" customHeight="1" spans="1:6" x14ac:dyDescent="0.25">
      <c r="A40" s="14" t="s">
        <v>279</v>
      </c>
      <c r="B40" s="14" t="s">
        <v>281</v>
      </c>
      <c r="C40" s="14" t="s">
        <v>267</v>
      </c>
      <c r="D40" s="14" t="s">
        <v>557</v>
      </c>
      <c r="E40" s="14" t="s">
        <v>184</v>
      </c>
      <c r="F40" s="14" t="str">
        <f>IF(COUNTA(C2)=0,"Ready","Check dependency status")</f>
        <v>Ready</v>
      </c>
    </row>
    <row r="41" ht="16" customHeight="1" spans="1:6" x14ac:dyDescent="0.25">
      <c r="A41" s="14" t="s">
        <v>285</v>
      </c>
      <c r="B41" s="14" t="s">
        <v>287</v>
      </c>
      <c r="C41" s="14" t="s">
        <v>290</v>
      </c>
      <c r="D41" s="14" t="s">
        <v>557</v>
      </c>
      <c r="E41" s="14" t="s">
        <v>184</v>
      </c>
      <c r="F41" s="14" t="str">
        <f>IF(COUNTA(C2)=0,"Ready","Check dependency status")</f>
        <v>Ready</v>
      </c>
    </row>
    <row r="42" ht="16" customHeight="1" spans="1:6" x14ac:dyDescent="0.25">
      <c r="A42" s="14" t="s">
        <v>292</v>
      </c>
      <c r="B42" s="14" t="s">
        <v>293</v>
      </c>
      <c r="C42" s="14" t="s">
        <v>285</v>
      </c>
      <c r="D42" s="14" t="s">
        <v>557</v>
      </c>
      <c r="E42" s="14" t="s">
        <v>184</v>
      </c>
      <c r="F42" s="14" t="str">
        <f>IF(COUNTA(C2)=0,"Ready","Check dependency status")</f>
        <v>Ready</v>
      </c>
    </row>
    <row r="43" ht="16" customHeight="1" spans="1:6" x14ac:dyDescent="0.25">
      <c r="A43" s="14" t="s">
        <v>297</v>
      </c>
      <c r="B43" s="14" t="s">
        <v>298</v>
      </c>
      <c r="C43" s="14" t="s">
        <v>301</v>
      </c>
      <c r="D43" s="14" t="s">
        <v>557</v>
      </c>
      <c r="E43" s="14" t="s">
        <v>184</v>
      </c>
      <c r="F43" s="14" t="str">
        <f>IF(COUNTA(C2)=0,"Ready","Check dependency status")</f>
        <v>Ready</v>
      </c>
    </row>
    <row r="44" ht="16" customHeight="1" spans="1:6" x14ac:dyDescent="0.25">
      <c r="A44" s="14" t="s">
        <v>303</v>
      </c>
      <c r="B44" s="14" t="s">
        <v>304</v>
      </c>
      <c r="C44" s="14" t="s">
        <v>307</v>
      </c>
      <c r="D44" s="14" t="s">
        <v>557</v>
      </c>
      <c r="E44" s="14" t="s">
        <v>184</v>
      </c>
      <c r="F44" s="14" t="str">
        <f>IF(COUNTA(C2)=0,"Ready","Check dependency status")</f>
        <v>Ready</v>
      </c>
    </row>
    <row r="45" ht="16" customHeight="1" spans="1:6" x14ac:dyDescent="0.25">
      <c r="A45" s="14" t="s">
        <v>309</v>
      </c>
      <c r="B45" s="14" t="s">
        <v>311</v>
      </c>
      <c r="C45" s="14" t="s">
        <v>125</v>
      </c>
      <c r="D45" s="14" t="s">
        <v>557</v>
      </c>
      <c r="E45" s="14" t="s">
        <v>184</v>
      </c>
      <c r="F45" s="14" t="str">
        <f>IF(COUNTA(C2)=0,"Ready","Check dependency status")</f>
        <v>Ready</v>
      </c>
    </row>
    <row r="46" ht="16" customHeight="1" spans="1:6" x14ac:dyDescent="0.25">
      <c r="A46" s="14" t="s">
        <v>315</v>
      </c>
      <c r="B46" s="14" t="s">
        <v>316</v>
      </c>
      <c r="C46" s="14" t="s">
        <v>319</v>
      </c>
      <c r="D46" s="14" t="s">
        <v>557</v>
      </c>
      <c r="E46" s="14" t="s">
        <v>184</v>
      </c>
      <c r="F46" s="14" t="str">
        <f>IF(COUNTA(C2)=0,"Ready","Check dependency status")</f>
        <v>Ready</v>
      </c>
    </row>
    <row r="47" ht="16" customHeight="1" spans="1:6" x14ac:dyDescent="0.25">
      <c r="A47" s="14" t="s">
        <v>321</v>
      </c>
      <c r="B47" s="14" t="s">
        <v>322</v>
      </c>
      <c r="C47" s="14" t="s">
        <v>315</v>
      </c>
      <c r="D47" s="14" t="s">
        <v>557</v>
      </c>
      <c r="E47" s="14" t="s">
        <v>184</v>
      </c>
      <c r="F47" s="14" t="str">
        <f>IF(COUNTA(C2)=0,"Ready","Check dependency status")</f>
        <v>Ready</v>
      </c>
    </row>
    <row r="48" ht="16" customHeight="1" spans="1:6" x14ac:dyDescent="0.25">
      <c r="A48" s="14" t="s">
        <v>326</v>
      </c>
      <c r="B48" s="14" t="s">
        <v>327</v>
      </c>
      <c r="C48" s="14" t="s">
        <v>330</v>
      </c>
      <c r="D48" s="14" t="s">
        <v>557</v>
      </c>
      <c r="E48" s="14" t="s">
        <v>184</v>
      </c>
      <c r="F48" s="14" t="str">
        <f>IF(COUNTA(C2)=0,"Ready","Check dependency status")</f>
        <v>Ready</v>
      </c>
    </row>
    <row r="49" ht="16" customHeight="1" spans="1:6" x14ac:dyDescent="0.25">
      <c r="A49" s="14" t="s">
        <v>332</v>
      </c>
      <c r="B49" s="14" t="s">
        <v>334</v>
      </c>
      <c r="C49" s="14" t="s">
        <v>337</v>
      </c>
      <c r="D49" s="14" t="s">
        <v>557</v>
      </c>
      <c r="E49" s="14" t="s">
        <v>184</v>
      </c>
      <c r="F49" s="14" t="str">
        <f>IF(COUNTA(C2)=0,"Ready","Check dependency status")</f>
        <v>Ready</v>
      </c>
    </row>
    <row r="50" ht="16" customHeight="1" spans="1:6" x14ac:dyDescent="0.25">
      <c r="A50" s="14" t="s">
        <v>339</v>
      </c>
      <c r="B50" s="14" t="s">
        <v>340</v>
      </c>
      <c r="C50" s="14" t="s">
        <v>303</v>
      </c>
      <c r="D50" s="14" t="s">
        <v>557</v>
      </c>
      <c r="E50" s="14" t="s">
        <v>184</v>
      </c>
      <c r="F50" s="14" t="str">
        <f>IF(COUNTA(C2)=0,"Ready","Check dependency status")</f>
        <v>Ready</v>
      </c>
    </row>
    <row r="51" ht="16" customHeight="1" spans="1:6" x14ac:dyDescent="0.25">
      <c r="A51" s="14" t="s">
        <v>344</v>
      </c>
      <c r="B51" s="14" t="s">
        <v>346</v>
      </c>
      <c r="C51" s="14" t="s">
        <v>226</v>
      </c>
      <c r="D51" s="14" t="s">
        <v>557</v>
      </c>
      <c r="E51" s="14" t="s">
        <v>184</v>
      </c>
      <c r="F51" s="14" t="str">
        <f>IF(COUNTA(C2)=0,"Ready","Check dependency status")</f>
        <v>Ready</v>
      </c>
    </row>
    <row r="52" ht="16" customHeight="1" spans="1:6" x14ac:dyDescent="0.25">
      <c r="A52" s="14" t="s">
        <v>350</v>
      </c>
      <c r="B52" s="14" t="s">
        <v>351</v>
      </c>
      <c r="C52" s="14" t="s">
        <v>354</v>
      </c>
      <c r="D52" s="14" t="s">
        <v>557</v>
      </c>
      <c r="E52" s="14" t="s">
        <v>184</v>
      </c>
      <c r="F52" s="14" t="str">
        <f>IF(COUNTA(C2)=0,"Ready","Check dependency status")</f>
        <v>Ready</v>
      </c>
    </row>
    <row r="53" ht="16" customHeight="1" spans="1:6" x14ac:dyDescent="0.25">
      <c r="A53" s="14" t="s">
        <v>356</v>
      </c>
      <c r="B53" s="14" t="s">
        <v>358</v>
      </c>
      <c r="C53" s="14" t="s">
        <v>361</v>
      </c>
      <c r="D53" s="14" t="s">
        <v>557</v>
      </c>
      <c r="E53" s="14" t="s">
        <v>184</v>
      </c>
      <c r="F53" s="14" t="str">
        <f>IF(COUNTA(C2)=0,"Ready","Check dependency status")</f>
        <v>Ready</v>
      </c>
    </row>
    <row r="54" ht="16" customHeight="1" spans="1:6" x14ac:dyDescent="0.25">
      <c r="A54" s="14" t="s">
        <v>363</v>
      </c>
      <c r="B54" s="14" t="s">
        <v>364</v>
      </c>
      <c r="C54" s="14" t="s">
        <v>356</v>
      </c>
      <c r="D54" s="14" t="s">
        <v>557</v>
      </c>
      <c r="E54" s="14" t="s">
        <v>184</v>
      </c>
      <c r="F54" s="14" t="str">
        <f>IF(COUNTA(C2)=0,"Ready","Check dependency status")</f>
        <v>Ready</v>
      </c>
    </row>
    <row r="55" ht="32" customHeight="1" spans="1:6" x14ac:dyDescent="0.25">
      <c r="A55" s="14" t="s">
        <v>368</v>
      </c>
      <c r="B55" s="14" t="s">
        <v>369</v>
      </c>
      <c r="C55" s="14" t="s">
        <v>372</v>
      </c>
      <c r="D55" s="14" t="s">
        <v>557</v>
      </c>
      <c r="E55" s="14" t="s">
        <v>184</v>
      </c>
      <c r="F55" s="14" t="str">
        <f>IF(COUNTA(C2)=0,"Ready","Check dependency status")</f>
        <v>Ready</v>
      </c>
    </row>
    <row r="56" ht="16" customHeight="1" spans="1:6" x14ac:dyDescent="0.25">
      <c r="A56" s="14" t="s">
        <v>374</v>
      </c>
      <c r="B56" s="14" t="s">
        <v>376</v>
      </c>
      <c r="C56" s="14" t="s">
        <v>380</v>
      </c>
      <c r="D56" s="14" t="s">
        <v>557</v>
      </c>
      <c r="E56" s="14" t="s">
        <v>184</v>
      </c>
      <c r="F56" s="14" t="str">
        <f>IF(COUNTA(C2)=0,"Ready","Check dependency status")</f>
        <v>Ready</v>
      </c>
    </row>
    <row r="57" ht="16" customHeight="1" spans="1:6" x14ac:dyDescent="0.25">
      <c r="A57" s="14" t="s">
        <v>382</v>
      </c>
      <c r="B57" s="14" t="s">
        <v>383</v>
      </c>
      <c r="C57" s="14" t="s">
        <v>386</v>
      </c>
      <c r="D57" s="14" t="s">
        <v>557</v>
      </c>
      <c r="E57" s="14" t="s">
        <v>184</v>
      </c>
      <c r="F57" s="14" t="str">
        <f>IF(COUNTA(C2)=0,"Ready","Check dependency status")</f>
        <v>Ready</v>
      </c>
    </row>
    <row r="58" ht="16" customHeight="1" spans="1:6" x14ac:dyDescent="0.25">
      <c r="A58" s="14" t="s">
        <v>388</v>
      </c>
      <c r="B58" s="14" t="s">
        <v>389</v>
      </c>
      <c r="C58" s="14" t="s">
        <v>392</v>
      </c>
      <c r="D58" s="14" t="s">
        <v>557</v>
      </c>
      <c r="E58" s="14" t="s">
        <v>184</v>
      </c>
      <c r="F58" s="14" t="str">
        <f>IF(COUNTA(C2)=0,"Ready","Check dependency status")</f>
        <v>Ready</v>
      </c>
    </row>
    <row r="59" ht="16" customHeight="1" spans="1:6" x14ac:dyDescent="0.25">
      <c r="A59" s="14" t="s">
        <v>394</v>
      </c>
      <c r="B59" s="14" t="s">
        <v>395</v>
      </c>
      <c r="C59" s="14" t="s">
        <v>398</v>
      </c>
      <c r="D59" s="14" t="s">
        <v>557</v>
      </c>
      <c r="E59" s="14" t="s">
        <v>184</v>
      </c>
      <c r="F59" s="14" t="str">
        <f>IF(COUNTA(C2)=0,"Ready","Check dependency status")</f>
        <v>Ready</v>
      </c>
    </row>
    <row r="60" ht="16" customHeight="1" spans="1:6" x14ac:dyDescent="0.25">
      <c r="A60" s="14" t="s">
        <v>400</v>
      </c>
      <c r="B60" s="14" t="s">
        <v>402</v>
      </c>
      <c r="C60" s="14" t="s">
        <v>405</v>
      </c>
      <c r="D60" s="14" t="s">
        <v>557</v>
      </c>
      <c r="E60" s="14" t="s">
        <v>184</v>
      </c>
      <c r="F60" s="14" t="str">
        <f>IF(COUNTA(C2)=0,"Ready","Check dependency status")</f>
        <v>Ready</v>
      </c>
    </row>
    <row r="61" ht="16" customHeight="1" spans="1:6" x14ac:dyDescent="0.25">
      <c r="A61" s="14" t="s">
        <v>407</v>
      </c>
      <c r="B61" s="14" t="s">
        <v>408</v>
      </c>
      <c r="C61" s="14" t="s">
        <v>400</v>
      </c>
      <c r="D61" s="14" t="s">
        <v>557</v>
      </c>
      <c r="E61" s="14" t="s">
        <v>184</v>
      </c>
      <c r="F61" s="14" t="str">
        <f>IF(COUNTA(C2)=0,"Ready","Check dependency status")</f>
        <v>Ready</v>
      </c>
    </row>
    <row r="62" ht="16" customHeight="1" spans="1:6" x14ac:dyDescent="0.25">
      <c r="A62" s="14" t="s">
        <v>412</v>
      </c>
      <c r="B62" s="14" t="s">
        <v>413</v>
      </c>
      <c r="C62" s="14" t="s">
        <v>400</v>
      </c>
      <c r="D62" s="14" t="s">
        <v>557</v>
      </c>
      <c r="E62" s="14" t="s">
        <v>184</v>
      </c>
      <c r="F62" s="14" t="str">
        <f>IF(COUNTA(C2)=0,"Ready","Check dependency status")</f>
        <v>Ready</v>
      </c>
    </row>
    <row r="63" ht="16" customHeight="1" spans="1:6" x14ac:dyDescent="0.25">
      <c r="A63" s="14" t="s">
        <v>417</v>
      </c>
      <c r="B63" s="14" t="s">
        <v>418</v>
      </c>
      <c r="C63" s="14" t="s">
        <v>421</v>
      </c>
      <c r="D63" s="14" t="s">
        <v>557</v>
      </c>
      <c r="E63" s="14" t="s">
        <v>184</v>
      </c>
      <c r="F63" s="14" t="str">
        <f>IF(COUNTA(C2)=0,"Ready","Check dependency status")</f>
        <v>Ready</v>
      </c>
    </row>
    <row r="64" ht="16" customHeight="1" spans="1:6" x14ac:dyDescent="0.25">
      <c r="A64" s="14" t="s">
        <v>423</v>
      </c>
      <c r="B64" s="14" t="s">
        <v>424</v>
      </c>
      <c r="C64" s="14" t="s">
        <v>427</v>
      </c>
      <c r="D64" s="14" t="s">
        <v>557</v>
      </c>
      <c r="E64" s="14" t="s">
        <v>184</v>
      </c>
      <c r="F64" s="14" t="str">
        <f>IF(COUNTA(C2)=0,"Ready","Check dependency status")</f>
        <v>Ready</v>
      </c>
    </row>
    <row r="65" ht="16" customHeight="1" spans="1:6" x14ac:dyDescent="0.25">
      <c r="A65" s="14" t="s">
        <v>429</v>
      </c>
      <c r="B65" s="14" t="s">
        <v>431</v>
      </c>
      <c r="C65" s="14" t="s">
        <v>435</v>
      </c>
      <c r="D65" s="14" t="s">
        <v>557</v>
      </c>
      <c r="E65" s="14" t="s">
        <v>184</v>
      </c>
      <c r="F65" s="14" t="str">
        <f>IF(COUNTA(C2)=0,"Ready","Check dependency status")</f>
        <v>Ready</v>
      </c>
    </row>
    <row r="66" ht="16" customHeight="1" spans="1:6" x14ac:dyDescent="0.25">
      <c r="A66" s="14" t="s">
        <v>437</v>
      </c>
      <c r="B66" s="14" t="s">
        <v>438</v>
      </c>
      <c r="C66" s="14" t="s">
        <v>429</v>
      </c>
      <c r="D66" s="14" t="s">
        <v>557</v>
      </c>
      <c r="E66" s="14" t="s">
        <v>184</v>
      </c>
      <c r="F66" s="14" t="str">
        <f>IF(COUNTA(C2)=0,"Ready","Check dependency status")</f>
        <v>Ready</v>
      </c>
    </row>
    <row r="67" ht="16" customHeight="1" spans="1:6" x14ac:dyDescent="0.25">
      <c r="A67" s="14" t="s">
        <v>442</v>
      </c>
      <c r="B67" s="14" t="s">
        <v>444</v>
      </c>
      <c r="C67" s="14" t="s">
        <v>429</v>
      </c>
      <c r="D67" s="14" t="s">
        <v>557</v>
      </c>
      <c r="E67" s="14" t="s">
        <v>184</v>
      </c>
      <c r="F67" s="14" t="str">
        <f>IF(COUNTA(C2)=0,"Ready","Check dependency status")</f>
        <v>Ready</v>
      </c>
    </row>
    <row r="68" ht="16" customHeight="1" spans="1:6" x14ac:dyDescent="0.25">
      <c r="A68" s="14" t="s">
        <v>448</v>
      </c>
      <c r="B68" s="14" t="s">
        <v>449</v>
      </c>
      <c r="C68" s="14" t="s">
        <v>442</v>
      </c>
      <c r="D68" s="14" t="s">
        <v>557</v>
      </c>
      <c r="E68" s="14" t="s">
        <v>184</v>
      </c>
      <c r="F68" s="14" t="str">
        <f>IF(COUNTA(C2)=0,"Ready","Check dependency status")</f>
        <v>Ready</v>
      </c>
    </row>
    <row r="69" ht="16" customHeight="1" spans="1:6" x14ac:dyDescent="0.25">
      <c r="A69" s="14" t="s">
        <v>453</v>
      </c>
      <c r="B69" s="14" t="s">
        <v>454</v>
      </c>
      <c r="C69" s="14" t="s">
        <v>457</v>
      </c>
      <c r="D69" s="14" t="s">
        <v>557</v>
      </c>
      <c r="E69" s="14" t="s">
        <v>184</v>
      </c>
      <c r="F69" s="14" t="str">
        <f>IF(COUNTA(C2)=0,"Ready","Check dependency status")</f>
        <v>Ready</v>
      </c>
    </row>
    <row r="70" ht="16" customHeight="1" spans="1:6" x14ac:dyDescent="0.25">
      <c r="A70" s="14" t="s">
        <v>459</v>
      </c>
      <c r="B70" s="14" t="s">
        <v>461</v>
      </c>
      <c r="C70" s="14" t="s">
        <v>465</v>
      </c>
      <c r="D70" s="14" t="s">
        <v>557</v>
      </c>
      <c r="E70" s="14" t="s">
        <v>184</v>
      </c>
      <c r="F70" s="14" t="str">
        <f>IF(COUNTA(C2)=0,"Ready","Check dependency status")</f>
        <v>Ready</v>
      </c>
    </row>
    <row r="71" ht="16" customHeight="1" spans="1:6" x14ac:dyDescent="0.25">
      <c r="A71" s="14" t="s">
        <v>467</v>
      </c>
      <c r="B71" s="14" t="s">
        <v>468</v>
      </c>
      <c r="C71" s="14" t="s">
        <v>471</v>
      </c>
      <c r="D71" s="14" t="s">
        <v>557</v>
      </c>
      <c r="E71" s="14" t="s">
        <v>184</v>
      </c>
      <c r="F71" s="14" t="str">
        <f>IF(COUNTA(C2)=0,"Ready","Check dependency status")</f>
        <v>Ready</v>
      </c>
    </row>
  </sheetData>
  <autoFilter ref="A1:F71"/>
  <pageMargins left="0.75" right="0.75" top="1" bottom="1" header="0.5" footer="0.5"/>
  <pageSetup orientation="portrait" horizontalDpi="4294967295" verticalDpi="4294967295" scale="100"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8"/>
  <sheetViews>
    <sheetView workbookViewId="0" showGridLines="0" zoomScale="100" zoomScaleNormal="100">
      <pane ySplit="1" topLeftCell="A26" activePane="bottomLeft" state="frozen"/>
      <selection pane="bottomLeft" activeCell="K38" sqref="K38"/>
    </sheetView>
  </sheetViews>
  <sheetFormatPr defaultRowHeight="15" outlineLevelRow="0" outlineLevelCol="0" x14ac:dyDescent="0.2" defaultColWidth="8.83203125"/>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ht="16" customHeight="1" spans="1:9" x14ac:dyDescent="0.25">
      <c r="A1" s="10" t="s">
        <v>558</v>
      </c>
      <c r="B1" s="10" t="s">
        <v>559</v>
      </c>
      <c r="C1" s="10" t="s">
        <v>560</v>
      </c>
      <c r="D1" s="10" t="s">
        <v>561</v>
      </c>
      <c r="E1" s="10" t="s">
        <v>562</v>
      </c>
      <c r="F1" s="10" t="s">
        <v>563</v>
      </c>
      <c r="G1" s="10" t="s">
        <v>564</v>
      </c>
      <c r="H1" s="10" t="s">
        <v>41</v>
      </c>
      <c r="I1" s="10" t="s">
        <v>22</v>
      </c>
    </row>
    <row r="2" ht="144" customHeight="1" spans="1:9" x14ac:dyDescent="0.25">
      <c r="A2" s="14" t="s">
        <v>565</v>
      </c>
      <c r="B2" s="14" t="s">
        <v>67</v>
      </c>
      <c r="C2" s="14" t="s">
        <v>566</v>
      </c>
      <c r="D2" s="14" t="s">
        <v>567</v>
      </c>
      <c r="E2" s="14" t="s">
        <v>568</v>
      </c>
      <c r="F2" s="14" t="s">
        <v>569</v>
      </c>
      <c r="G2" s="14" t="s">
        <v>69</v>
      </c>
      <c r="H2" s="14" t="s">
        <v>570</v>
      </c>
      <c r="I2" s="14" t="s">
        <v>13</v>
      </c>
    </row>
    <row r="3" ht="32" customHeight="1" spans="1:9" x14ac:dyDescent="0.25">
      <c r="A3" s="14" t="s">
        <v>571</v>
      </c>
      <c r="B3" s="14" t="s">
        <v>67</v>
      </c>
      <c r="C3" s="14" t="s">
        <v>572</v>
      </c>
      <c r="D3" s="14" t="s">
        <v>573</v>
      </c>
      <c r="E3" s="14" t="s">
        <v>574</v>
      </c>
      <c r="F3" s="14" t="s">
        <v>575</v>
      </c>
      <c r="G3" s="14" t="s">
        <v>93</v>
      </c>
      <c r="H3" s="14" t="s">
        <v>576</v>
      </c>
      <c r="I3" s="14" t="s">
        <v>13</v>
      </c>
    </row>
    <row r="4" ht="16" customHeight="1" spans="1:9" x14ac:dyDescent="0.25">
      <c r="A4" s="14" t="s">
        <v>577</v>
      </c>
      <c r="B4" s="14" t="s">
        <v>67</v>
      </c>
      <c r="C4" s="14" t="s">
        <v>572</v>
      </c>
      <c r="D4" s="14" t="s">
        <v>578</v>
      </c>
      <c r="E4" s="14" t="s">
        <v>579</v>
      </c>
      <c r="F4" s="14" t="s">
        <v>580</v>
      </c>
      <c r="G4" s="14" t="s">
        <v>93</v>
      </c>
      <c r="H4" s="14" t="s">
        <v>581</v>
      </c>
      <c r="I4" s="14" t="s">
        <v>13</v>
      </c>
    </row>
    <row r="5" ht="409.6" customHeight="1" spans="1:9" x14ac:dyDescent="0.25">
      <c r="A5" s="14" t="s">
        <v>582</v>
      </c>
      <c r="B5" s="14" t="s">
        <v>67</v>
      </c>
      <c r="C5" s="14" t="s">
        <v>583</v>
      </c>
      <c r="D5" s="14" t="s">
        <v>584</v>
      </c>
      <c r="E5" s="14" t="s">
        <v>585</v>
      </c>
      <c r="F5" s="14" t="s">
        <v>586</v>
      </c>
      <c r="G5" s="14" t="s">
        <v>587</v>
      </c>
      <c r="H5" s="14" t="s">
        <v>588</v>
      </c>
      <c r="I5" s="14" t="s">
        <v>13</v>
      </c>
    </row>
    <row r="6" ht="409.6" customHeight="1" spans="1:9" x14ac:dyDescent="0.25">
      <c r="A6" s="14" t="s">
        <v>589</v>
      </c>
      <c r="B6" s="14" t="s">
        <v>67</v>
      </c>
      <c r="C6" s="14" t="s">
        <v>572</v>
      </c>
      <c r="D6" s="14" t="s">
        <v>590</v>
      </c>
      <c r="E6" s="14" t="s">
        <v>591</v>
      </c>
      <c r="F6" s="14" t="s">
        <v>592</v>
      </c>
      <c r="G6" s="14" t="s">
        <v>133</v>
      </c>
      <c r="H6" s="14" t="s">
        <v>593</v>
      </c>
      <c r="I6" s="14" t="s">
        <v>13</v>
      </c>
    </row>
    <row r="7" ht="409.6" customHeight="1" spans="1:9" x14ac:dyDescent="0.25">
      <c r="A7" s="14" t="s">
        <v>594</v>
      </c>
      <c r="B7" s="14" t="s">
        <v>67</v>
      </c>
      <c r="C7" s="14" t="s">
        <v>572</v>
      </c>
      <c r="D7" s="14" t="s">
        <v>590</v>
      </c>
      <c r="E7" s="14" t="s">
        <v>595</v>
      </c>
      <c r="F7" s="14" t="s">
        <v>596</v>
      </c>
      <c r="G7" s="14" t="s">
        <v>139</v>
      </c>
      <c r="H7" s="14" t="s">
        <v>597</v>
      </c>
      <c r="I7" s="14" t="s">
        <v>13</v>
      </c>
    </row>
    <row r="8" ht="288" customHeight="1" spans="1:9" x14ac:dyDescent="0.25">
      <c r="A8" s="14" t="s">
        <v>598</v>
      </c>
      <c r="B8" s="14" t="s">
        <v>67</v>
      </c>
      <c r="C8" s="14" t="s">
        <v>572</v>
      </c>
      <c r="D8" s="14" t="s">
        <v>599</v>
      </c>
      <c r="E8" s="14" t="s">
        <v>600</v>
      </c>
      <c r="F8" s="14" t="s">
        <v>601</v>
      </c>
      <c r="G8" s="14" t="s">
        <v>587</v>
      </c>
      <c r="H8" s="14" t="s">
        <v>602</v>
      </c>
      <c r="I8" s="14" t="s">
        <v>13</v>
      </c>
    </row>
    <row r="9" ht="16" customHeight="1" spans="1:9" x14ac:dyDescent="0.25">
      <c r="A9" s="14" t="s">
        <v>603</v>
      </c>
      <c r="B9" s="14" t="s">
        <v>67</v>
      </c>
      <c r="C9" s="14" t="s">
        <v>572</v>
      </c>
      <c r="D9" s="14" t="s">
        <v>604</v>
      </c>
      <c r="E9" s="14" t="s">
        <v>605</v>
      </c>
      <c r="F9" s="14" t="s">
        <v>606</v>
      </c>
      <c r="G9" s="14" t="s">
        <v>139</v>
      </c>
      <c r="H9" s="14" t="s">
        <v>607</v>
      </c>
      <c r="I9" s="14" t="s">
        <v>13</v>
      </c>
    </row>
    <row r="10" ht="16" customHeight="1" spans="1:9" x14ac:dyDescent="0.25">
      <c r="A10" s="14" t="s">
        <v>608</v>
      </c>
      <c r="B10" s="14" t="s">
        <v>67</v>
      </c>
      <c r="C10" s="14" t="s">
        <v>609</v>
      </c>
      <c r="D10" s="14" t="s">
        <v>610</v>
      </c>
      <c r="E10" s="14" t="s">
        <v>611</v>
      </c>
      <c r="F10" s="14" t="s">
        <v>612</v>
      </c>
      <c r="G10" s="14" t="s">
        <v>152</v>
      </c>
      <c r="H10" s="14" t="s">
        <v>613</v>
      </c>
      <c r="I10" s="14" t="s">
        <v>13</v>
      </c>
    </row>
    <row r="11" ht="16" customHeight="1" spans="1:9" x14ac:dyDescent="0.25">
      <c r="A11" s="14" t="s">
        <v>614</v>
      </c>
      <c r="B11" s="14" t="s">
        <v>67</v>
      </c>
      <c r="C11" s="14" t="s">
        <v>609</v>
      </c>
      <c r="D11" s="14" t="s">
        <v>615</v>
      </c>
      <c r="E11" s="14" t="s">
        <v>616</v>
      </c>
      <c r="F11" s="14" t="s">
        <v>617</v>
      </c>
      <c r="G11" s="14" t="s">
        <v>152</v>
      </c>
      <c r="H11" s="14" t="s">
        <v>618</v>
      </c>
      <c r="I11" s="14" t="s">
        <v>13</v>
      </c>
    </row>
    <row r="12" ht="16" customHeight="1" spans="1:9" x14ac:dyDescent="0.25">
      <c r="A12" s="14" t="s">
        <v>619</v>
      </c>
      <c r="B12" s="14" t="s">
        <v>67</v>
      </c>
      <c r="C12" s="14" t="s">
        <v>620</v>
      </c>
      <c r="D12" s="14" t="s">
        <v>621</v>
      </c>
      <c r="E12" s="14" t="s">
        <v>622</v>
      </c>
      <c r="F12" s="14" t="s">
        <v>623</v>
      </c>
      <c r="G12" s="14" t="s">
        <v>195</v>
      </c>
      <c r="H12" s="14" t="s">
        <v>624</v>
      </c>
      <c r="I12" s="14" t="s">
        <v>25</v>
      </c>
    </row>
    <row r="13" ht="16" customHeight="1" spans="1:9" x14ac:dyDescent="0.25">
      <c r="A13" s="14" t="s">
        <v>625</v>
      </c>
      <c r="B13" s="14" t="s">
        <v>61</v>
      </c>
      <c r="C13" s="14" t="s">
        <v>626</v>
      </c>
      <c r="D13" s="14" t="s">
        <v>627</v>
      </c>
      <c r="E13" s="14" t="s">
        <v>628</v>
      </c>
      <c r="F13" s="14" t="s">
        <v>629</v>
      </c>
      <c r="G13" s="14" t="s">
        <v>145</v>
      </c>
      <c r="H13" s="14" t="s">
        <v>630</v>
      </c>
      <c r="I13" s="14" t="s">
        <v>13</v>
      </c>
    </row>
    <row r="14" ht="16" customHeight="1" spans="1:9" x14ac:dyDescent="0.25">
      <c r="A14" s="14" t="s">
        <v>631</v>
      </c>
      <c r="B14" s="14" t="s">
        <v>61</v>
      </c>
      <c r="C14" s="14" t="s">
        <v>626</v>
      </c>
      <c r="D14" s="14" t="s">
        <v>632</v>
      </c>
      <c r="E14" s="14" t="s">
        <v>633</v>
      </c>
      <c r="F14" s="14" t="s">
        <v>634</v>
      </c>
      <c r="G14" s="14" t="s">
        <v>145</v>
      </c>
      <c r="H14" s="14" t="s">
        <v>635</v>
      </c>
      <c r="I14" s="14" t="s">
        <v>13</v>
      </c>
    </row>
    <row r="15" ht="409.5" customHeight="1" spans="1:9" x14ac:dyDescent="0.25">
      <c r="A15" s="14" t="s">
        <v>636</v>
      </c>
      <c r="B15" s="14" t="s">
        <v>86</v>
      </c>
      <c r="C15" s="14" t="s">
        <v>637</v>
      </c>
      <c r="D15" s="14" t="s">
        <v>500</v>
      </c>
      <c r="E15" s="14" t="s">
        <v>638</v>
      </c>
      <c r="F15" s="14" t="s">
        <v>639</v>
      </c>
      <c r="G15" s="14" t="s">
        <v>494</v>
      </c>
      <c r="H15" s="14" t="s">
        <v>640</v>
      </c>
      <c r="I15" s="14" t="s">
        <v>13</v>
      </c>
    </row>
    <row r="16" ht="409.5" customHeight="1" spans="1:9" x14ac:dyDescent="0.25">
      <c r="A16" s="14" t="s">
        <v>641</v>
      </c>
      <c r="B16" s="14" t="s">
        <v>67</v>
      </c>
      <c r="C16" s="14" t="s">
        <v>572</v>
      </c>
      <c r="D16" s="14" t="s">
        <v>642</v>
      </c>
      <c r="E16" s="14" t="s">
        <v>643</v>
      </c>
      <c r="F16" s="14" t="s">
        <v>644</v>
      </c>
      <c r="G16" s="14" t="s">
        <v>494</v>
      </c>
      <c r="H16" s="14" t="s">
        <v>645</v>
      </c>
      <c r="I16" s="14" t="s">
        <v>13</v>
      </c>
    </row>
    <row r="17" ht="409.5" customHeight="1" spans="1:9" x14ac:dyDescent="0.25">
      <c r="A17" s="14" t="s">
        <v>646</v>
      </c>
      <c r="B17" s="14" t="s">
        <v>67</v>
      </c>
      <c r="C17" s="14" t="s">
        <v>572</v>
      </c>
      <c r="D17" s="14" t="s">
        <v>647</v>
      </c>
      <c r="E17" s="14" t="s">
        <v>648</v>
      </c>
      <c r="F17" s="14" t="s">
        <v>649</v>
      </c>
      <c r="G17" s="14" t="s">
        <v>494</v>
      </c>
      <c r="H17" s="14" t="s">
        <v>650</v>
      </c>
      <c r="I17" s="14" t="s">
        <v>13</v>
      </c>
    </row>
    <row r="18" ht="409.5" customHeight="1" spans="1:9" x14ac:dyDescent="0.25">
      <c r="A18" s="14" t="s">
        <v>651</v>
      </c>
      <c r="B18" s="14" t="s">
        <v>67</v>
      </c>
      <c r="C18" s="14" t="s">
        <v>572</v>
      </c>
      <c r="D18" s="14" t="s">
        <v>652</v>
      </c>
      <c r="E18" s="14" t="s">
        <v>653</v>
      </c>
      <c r="F18" s="14" t="s">
        <v>654</v>
      </c>
      <c r="G18" s="14" t="s">
        <v>494</v>
      </c>
      <c r="H18" s="14" t="s">
        <v>655</v>
      </c>
      <c r="I18" s="14" t="s">
        <v>13</v>
      </c>
    </row>
    <row r="19" ht="409.5" customHeight="1" spans="1:9" x14ac:dyDescent="0.25">
      <c r="A19" s="14" t="s">
        <v>656</v>
      </c>
      <c r="B19" s="14" t="s">
        <v>67</v>
      </c>
      <c r="C19" s="14" t="s">
        <v>657</v>
      </c>
      <c r="D19" s="14" t="s">
        <v>658</v>
      </c>
      <c r="E19" s="14" t="s">
        <v>659</v>
      </c>
      <c r="F19" s="14" t="s">
        <v>660</v>
      </c>
      <c r="G19" s="14" t="s">
        <v>494</v>
      </c>
      <c r="H19" s="14" t="s">
        <v>661</v>
      </c>
      <c r="I19" s="14" t="s">
        <v>13</v>
      </c>
    </row>
    <row r="20" ht="409.5" customHeight="1" spans="1:9" x14ac:dyDescent="0.25">
      <c r="A20" s="14" t="s">
        <v>662</v>
      </c>
      <c r="B20" s="14" t="s">
        <v>67</v>
      </c>
      <c r="C20" s="14" t="s">
        <v>572</v>
      </c>
      <c r="D20" s="14" t="s">
        <v>599</v>
      </c>
      <c r="E20" s="14" t="s">
        <v>663</v>
      </c>
      <c r="F20" s="14" t="s">
        <v>664</v>
      </c>
      <c r="G20" s="14" t="s">
        <v>494</v>
      </c>
      <c r="H20" s="14" t="s">
        <v>665</v>
      </c>
      <c r="I20" s="14" t="s">
        <v>13</v>
      </c>
    </row>
    <row r="21" ht="409.5" customHeight="1" spans="1:9" x14ac:dyDescent="0.25">
      <c r="A21" s="14" t="s">
        <v>666</v>
      </c>
      <c r="B21" s="14" t="s">
        <v>61</v>
      </c>
      <c r="C21" s="14" t="s">
        <v>667</v>
      </c>
      <c r="D21" s="14" t="s">
        <v>668</v>
      </c>
      <c r="E21" s="14" t="s">
        <v>669</v>
      </c>
      <c r="F21" s="14" t="s">
        <v>670</v>
      </c>
      <c r="G21" s="14" t="s">
        <v>494</v>
      </c>
      <c r="H21" s="14" t="s">
        <v>671</v>
      </c>
      <c r="I21" s="14" t="s">
        <v>13</v>
      </c>
    </row>
    <row r="22" ht="409.5" customHeight="1" spans="1:9" x14ac:dyDescent="0.25">
      <c r="A22" s="14" t="s">
        <v>672</v>
      </c>
      <c r="B22" s="14" t="s">
        <v>67</v>
      </c>
      <c r="C22" s="14" t="s">
        <v>673</v>
      </c>
      <c r="D22" s="14" t="s">
        <v>674</v>
      </c>
      <c r="E22" s="14" t="s">
        <v>675</v>
      </c>
      <c r="F22" s="14" t="s">
        <v>676</v>
      </c>
      <c r="G22" s="14" t="s">
        <v>494</v>
      </c>
      <c r="H22" s="14" t="s">
        <v>677</v>
      </c>
      <c r="I22" s="14" t="s">
        <v>25</v>
      </c>
    </row>
    <row r="23" ht="16" customHeight="1" spans="1:9" x14ac:dyDescent="0.25">
      <c r="A23" s="14" t="s">
        <v>678</v>
      </c>
      <c r="B23" s="14" t="s">
        <v>67</v>
      </c>
      <c r="C23" s="14" t="s">
        <v>673</v>
      </c>
      <c r="D23" s="14" t="s">
        <v>679</v>
      </c>
      <c r="E23" s="14" t="s">
        <v>680</v>
      </c>
      <c r="F23" s="14" t="s">
        <v>681</v>
      </c>
      <c r="G23" s="14" t="s">
        <v>175</v>
      </c>
      <c r="H23" s="14" t="s">
        <v>682</v>
      </c>
      <c r="I23" s="14" t="s">
        <v>25</v>
      </c>
    </row>
    <row r="24" ht="16" customHeight="1" spans="1:9" x14ac:dyDescent="0.25">
      <c r="A24" s="14" t="s">
        <v>683</v>
      </c>
      <c r="B24" s="14" t="s">
        <v>67</v>
      </c>
      <c r="C24" s="14" t="s">
        <v>673</v>
      </c>
      <c r="D24" s="14" t="s">
        <v>684</v>
      </c>
      <c r="E24" s="14" t="s">
        <v>685</v>
      </c>
      <c r="F24" s="14" t="s">
        <v>686</v>
      </c>
      <c r="G24" s="14" t="s">
        <v>175</v>
      </c>
      <c r="H24" s="14" t="s">
        <v>687</v>
      </c>
      <c r="I24" s="14" t="s">
        <v>25</v>
      </c>
    </row>
    <row r="25" ht="32" customHeight="1" spans="1:9" x14ac:dyDescent="0.25">
      <c r="A25" s="14" t="s">
        <v>688</v>
      </c>
      <c r="B25" s="14" t="s">
        <v>67</v>
      </c>
      <c r="C25" s="14" t="s">
        <v>689</v>
      </c>
      <c r="D25" s="14" t="s">
        <v>690</v>
      </c>
      <c r="E25" s="14" t="s">
        <v>691</v>
      </c>
      <c r="F25" s="14" t="s">
        <v>692</v>
      </c>
      <c r="G25" s="14" t="s">
        <v>693</v>
      </c>
      <c r="H25" s="14" t="s">
        <v>694</v>
      </c>
      <c r="I25" s="14" t="s">
        <v>25</v>
      </c>
    </row>
    <row r="26" ht="16" customHeight="1" spans="1:9" x14ac:dyDescent="0.25">
      <c r="A26" s="14" t="s">
        <v>695</v>
      </c>
      <c r="B26" s="14" t="s">
        <v>67</v>
      </c>
      <c r="C26" s="14" t="s">
        <v>689</v>
      </c>
      <c r="D26" s="14" t="s">
        <v>174</v>
      </c>
      <c r="E26" s="14" t="s">
        <v>696</v>
      </c>
      <c r="F26" s="14" t="s">
        <v>697</v>
      </c>
      <c r="G26" s="14" t="s">
        <v>693</v>
      </c>
      <c r="H26" s="14" t="s">
        <v>698</v>
      </c>
      <c r="I26" s="14" t="s">
        <v>25</v>
      </c>
    </row>
    <row r="27" ht="16" customHeight="1" spans="1:9" x14ac:dyDescent="0.25">
      <c r="A27" s="14" t="s">
        <v>699</v>
      </c>
      <c r="B27" s="14" t="s">
        <v>67</v>
      </c>
      <c r="C27" s="14" t="s">
        <v>700</v>
      </c>
      <c r="D27" s="14" t="s">
        <v>701</v>
      </c>
      <c r="E27" s="14" t="s">
        <v>702</v>
      </c>
      <c r="F27" s="14" t="s">
        <v>703</v>
      </c>
      <c r="G27" s="14" t="s">
        <v>214</v>
      </c>
      <c r="H27" s="14" t="s">
        <v>704</v>
      </c>
      <c r="I27" s="14" t="s">
        <v>25</v>
      </c>
    </row>
    <row r="28" ht="32" customHeight="1" spans="1:9" x14ac:dyDescent="0.25">
      <c r="A28" s="14" t="s">
        <v>705</v>
      </c>
      <c r="B28" s="14" t="s">
        <v>67</v>
      </c>
      <c r="C28" s="14" t="s">
        <v>700</v>
      </c>
      <c r="D28" s="14" t="s">
        <v>706</v>
      </c>
      <c r="E28" s="14" t="s">
        <v>707</v>
      </c>
      <c r="F28" s="14" t="s">
        <v>708</v>
      </c>
      <c r="G28" s="14" t="s">
        <v>709</v>
      </c>
      <c r="H28" s="14" t="s">
        <v>710</v>
      </c>
      <c r="I28" s="14" t="s">
        <v>25</v>
      </c>
    </row>
    <row r="29" ht="32" customHeight="1" spans="1:9" x14ac:dyDescent="0.25">
      <c r="A29" s="14" t="s">
        <v>711</v>
      </c>
      <c r="B29" s="14" t="s">
        <v>67</v>
      </c>
      <c r="C29" s="14" t="s">
        <v>700</v>
      </c>
      <c r="D29" s="14" t="s">
        <v>235</v>
      </c>
      <c r="E29" s="14" t="s">
        <v>712</v>
      </c>
      <c r="F29" s="14" t="s">
        <v>713</v>
      </c>
      <c r="G29" s="14" t="s">
        <v>709</v>
      </c>
      <c r="H29" s="14" t="s">
        <v>714</v>
      </c>
      <c r="I29" s="14" t="s">
        <v>25</v>
      </c>
    </row>
    <row r="30" ht="32" customHeight="1" spans="1:9" x14ac:dyDescent="0.25">
      <c r="A30" s="14" t="s">
        <v>715</v>
      </c>
      <c r="B30" s="14" t="s">
        <v>67</v>
      </c>
      <c r="C30" s="14" t="s">
        <v>700</v>
      </c>
      <c r="D30" s="14" t="s">
        <v>241</v>
      </c>
      <c r="E30" s="14" t="s">
        <v>716</v>
      </c>
      <c r="F30" s="14" t="s">
        <v>717</v>
      </c>
      <c r="G30" s="14" t="s">
        <v>236</v>
      </c>
      <c r="H30" s="14" t="s">
        <v>718</v>
      </c>
      <c r="I30" s="14" t="s">
        <v>25</v>
      </c>
    </row>
    <row r="31" ht="16" customHeight="1" spans="1:9" x14ac:dyDescent="0.25">
      <c r="A31" s="14" t="s">
        <v>719</v>
      </c>
      <c r="B31" s="14" t="s">
        <v>67</v>
      </c>
      <c r="C31" s="14" t="s">
        <v>720</v>
      </c>
      <c r="D31" s="14" t="s">
        <v>721</v>
      </c>
      <c r="E31" s="14" t="s">
        <v>722</v>
      </c>
      <c r="F31" s="14" t="s">
        <v>723</v>
      </c>
      <c r="G31" s="14" t="s">
        <v>267</v>
      </c>
      <c r="H31" s="14" t="s">
        <v>724</v>
      </c>
      <c r="I31" s="14" t="s">
        <v>25</v>
      </c>
    </row>
    <row r="32" ht="16" customHeight="1" spans="1:9" x14ac:dyDescent="0.25">
      <c r="A32" s="14" t="s">
        <v>725</v>
      </c>
      <c r="B32" s="14" t="s">
        <v>67</v>
      </c>
      <c r="C32" s="14" t="s">
        <v>720</v>
      </c>
      <c r="D32" s="14" t="s">
        <v>726</v>
      </c>
      <c r="E32" s="14" t="s">
        <v>727</v>
      </c>
      <c r="F32" s="14" t="s">
        <v>728</v>
      </c>
      <c r="G32" s="14" t="s">
        <v>267</v>
      </c>
      <c r="H32" s="14" t="s">
        <v>729</v>
      </c>
      <c r="I32" s="14" t="s">
        <v>25</v>
      </c>
    </row>
    <row r="33" ht="32" customHeight="1" spans="1:9" x14ac:dyDescent="0.25">
      <c r="A33" s="14" t="s">
        <v>730</v>
      </c>
      <c r="B33" s="14" t="s">
        <v>67</v>
      </c>
      <c r="C33" s="14" t="s">
        <v>731</v>
      </c>
      <c r="D33" s="14" t="s">
        <v>732</v>
      </c>
      <c r="E33" s="14" t="s">
        <v>733</v>
      </c>
      <c r="F33" s="14" t="s">
        <v>734</v>
      </c>
      <c r="G33" s="14" t="s">
        <v>292</v>
      </c>
      <c r="H33" s="14" t="s">
        <v>735</v>
      </c>
      <c r="I33" s="14" t="s">
        <v>25</v>
      </c>
    </row>
    <row r="34" ht="32" customHeight="1" spans="1:9" x14ac:dyDescent="0.25">
      <c r="A34" s="14" t="s">
        <v>736</v>
      </c>
      <c r="B34" s="14" t="s">
        <v>67</v>
      </c>
      <c r="C34" s="14" t="s">
        <v>737</v>
      </c>
      <c r="D34" s="14" t="s">
        <v>320</v>
      </c>
      <c r="E34" s="14" t="s">
        <v>738</v>
      </c>
      <c r="F34" s="14" t="s">
        <v>739</v>
      </c>
      <c r="G34" s="14" t="s">
        <v>315</v>
      </c>
      <c r="H34" s="14" t="s">
        <v>740</v>
      </c>
      <c r="I34" s="14" t="s">
        <v>25</v>
      </c>
    </row>
    <row r="35" ht="112" customHeight="1" spans="1:9" x14ac:dyDescent="0.25">
      <c r="A35" s="14" t="s">
        <v>741</v>
      </c>
      <c r="B35" s="14" t="s">
        <v>61</v>
      </c>
      <c r="C35" s="14" t="s">
        <v>572</v>
      </c>
      <c r="D35" s="14" t="s">
        <v>742</v>
      </c>
      <c r="E35" s="14" t="s">
        <v>743</v>
      </c>
      <c r="F35" s="14" t="s">
        <v>744</v>
      </c>
      <c r="G35" s="14" t="s">
        <v>99</v>
      </c>
      <c r="H35" s="14" t="s">
        <v>745</v>
      </c>
      <c r="I35" s="14" t="s">
        <v>13</v>
      </c>
    </row>
    <row r="36" ht="160" customHeight="1" spans="1:9" x14ac:dyDescent="0.25">
      <c r="A36" s="14" t="s">
        <v>746</v>
      </c>
      <c r="B36" s="14" t="s">
        <v>61</v>
      </c>
      <c r="C36" s="14" t="s">
        <v>572</v>
      </c>
      <c r="D36" s="14" t="s">
        <v>747</v>
      </c>
      <c r="E36" s="14" t="s">
        <v>748</v>
      </c>
      <c r="F36" s="14" t="s">
        <v>749</v>
      </c>
      <c r="G36" s="14" t="s">
        <v>99</v>
      </c>
      <c r="H36" s="14" t="s">
        <v>750</v>
      </c>
      <c r="I36" s="14" t="s">
        <v>13</v>
      </c>
    </row>
    <row r="37" ht="16" customHeight="1" spans="1:9" x14ac:dyDescent="0.25">
      <c r="A37" s="14" t="s">
        <v>751</v>
      </c>
      <c r="B37" s="14" t="s">
        <v>61</v>
      </c>
      <c r="C37" s="14" t="s">
        <v>752</v>
      </c>
      <c r="D37" s="14" t="s">
        <v>753</v>
      </c>
      <c r="E37" s="14" t="s">
        <v>754</v>
      </c>
      <c r="F37" s="14" t="s">
        <v>755</v>
      </c>
      <c r="G37" s="14" t="s">
        <v>189</v>
      </c>
      <c r="H37" s="14" t="s">
        <v>756</v>
      </c>
      <c r="I37" s="14" t="s">
        <v>25</v>
      </c>
    </row>
    <row r="38" ht="16" customHeight="1" spans="1:9" x14ac:dyDescent="0.25">
      <c r="A38" s="14" t="s">
        <v>757</v>
      </c>
      <c r="B38" s="14" t="s">
        <v>61</v>
      </c>
      <c r="C38" s="14" t="s">
        <v>752</v>
      </c>
      <c r="D38" s="14" t="s">
        <v>758</v>
      </c>
      <c r="E38" s="14" t="s">
        <v>759</v>
      </c>
      <c r="F38" s="14" t="s">
        <v>760</v>
      </c>
      <c r="G38" s="14" t="s">
        <v>761</v>
      </c>
      <c r="H38" s="14" t="s">
        <v>762</v>
      </c>
      <c r="I38" s="14" t="s">
        <v>25</v>
      </c>
    </row>
    <row r="39" ht="16" customHeight="1" spans="1:9" x14ac:dyDescent="0.25">
      <c r="A39" s="14" t="s">
        <v>763</v>
      </c>
      <c r="B39" s="14" t="s">
        <v>61</v>
      </c>
      <c r="C39" s="14" t="s">
        <v>700</v>
      </c>
      <c r="D39" s="14" t="s">
        <v>764</v>
      </c>
      <c r="E39" s="14" t="s">
        <v>244</v>
      </c>
      <c r="F39" s="14" t="s">
        <v>765</v>
      </c>
      <c r="G39" s="14" t="s">
        <v>766</v>
      </c>
      <c r="H39" s="14" t="s">
        <v>767</v>
      </c>
      <c r="I39" s="14" t="s">
        <v>25</v>
      </c>
    </row>
    <row r="40" ht="16" customHeight="1" spans="1:9" x14ac:dyDescent="0.25">
      <c r="A40" s="14" t="s">
        <v>768</v>
      </c>
      <c r="B40" s="14" t="s">
        <v>61</v>
      </c>
      <c r="C40" s="14" t="s">
        <v>700</v>
      </c>
      <c r="D40" s="14" t="s">
        <v>769</v>
      </c>
      <c r="E40" s="14" t="s">
        <v>250</v>
      </c>
      <c r="F40" s="14" t="s">
        <v>770</v>
      </c>
      <c r="G40" s="14" t="s">
        <v>249</v>
      </c>
      <c r="H40" s="14" t="s">
        <v>771</v>
      </c>
      <c r="I40" s="14" t="s">
        <v>25</v>
      </c>
    </row>
    <row r="41" ht="16" customHeight="1" spans="1:9" x14ac:dyDescent="0.25">
      <c r="A41" s="14" t="s">
        <v>772</v>
      </c>
      <c r="B41" s="14" t="s">
        <v>61</v>
      </c>
      <c r="C41" s="14" t="s">
        <v>700</v>
      </c>
      <c r="D41" s="14" t="s">
        <v>773</v>
      </c>
      <c r="E41" s="14" t="s">
        <v>256</v>
      </c>
      <c r="F41" s="14" t="s">
        <v>774</v>
      </c>
      <c r="G41" s="14" t="s">
        <v>255</v>
      </c>
      <c r="H41" s="14" t="s">
        <v>775</v>
      </c>
      <c r="I41" s="14" t="s">
        <v>25</v>
      </c>
    </row>
    <row r="42" ht="16" customHeight="1" spans="1:9" x14ac:dyDescent="0.25">
      <c r="A42" s="14" t="s">
        <v>776</v>
      </c>
      <c r="B42" s="14" t="s">
        <v>61</v>
      </c>
      <c r="C42" s="14" t="s">
        <v>700</v>
      </c>
      <c r="D42" s="14" t="s">
        <v>777</v>
      </c>
      <c r="E42" s="14" t="s">
        <v>778</v>
      </c>
      <c r="F42" s="14" t="s">
        <v>779</v>
      </c>
      <c r="G42" s="14" t="s">
        <v>297</v>
      </c>
      <c r="H42" s="14" t="s">
        <v>780</v>
      </c>
      <c r="I42" s="14" t="s">
        <v>25</v>
      </c>
    </row>
    <row r="43" ht="16" customHeight="1" spans="1:9" x14ac:dyDescent="0.25">
      <c r="A43" s="14" t="s">
        <v>781</v>
      </c>
      <c r="B43" s="14" t="s">
        <v>61</v>
      </c>
      <c r="C43" s="14" t="s">
        <v>720</v>
      </c>
      <c r="D43" s="14" t="s">
        <v>284</v>
      </c>
      <c r="E43" s="14" t="s">
        <v>782</v>
      </c>
      <c r="F43" s="14" t="s">
        <v>783</v>
      </c>
      <c r="G43" s="14" t="s">
        <v>279</v>
      </c>
      <c r="H43" s="14" t="s">
        <v>784</v>
      </c>
      <c r="I43" s="14" t="s">
        <v>25</v>
      </c>
    </row>
    <row r="44" ht="16" customHeight="1" spans="1:9" x14ac:dyDescent="0.25">
      <c r="A44" s="14" t="s">
        <v>785</v>
      </c>
      <c r="B44" s="14" t="s">
        <v>61</v>
      </c>
      <c r="C44" s="14" t="s">
        <v>786</v>
      </c>
      <c r="D44" s="14" t="s">
        <v>308</v>
      </c>
      <c r="E44" s="14" t="s">
        <v>787</v>
      </c>
      <c r="F44" s="14" t="s">
        <v>788</v>
      </c>
      <c r="G44" s="14" t="s">
        <v>303</v>
      </c>
      <c r="H44" s="14" t="s">
        <v>789</v>
      </c>
      <c r="I44" s="14" t="s">
        <v>25</v>
      </c>
    </row>
    <row r="45" ht="32" customHeight="1" spans="1:9" x14ac:dyDescent="0.25">
      <c r="A45" s="14" t="s">
        <v>790</v>
      </c>
      <c r="B45" s="14" t="s">
        <v>61</v>
      </c>
      <c r="C45" s="14" t="s">
        <v>737</v>
      </c>
      <c r="D45" s="14" t="s">
        <v>331</v>
      </c>
      <c r="E45" s="14" t="s">
        <v>791</v>
      </c>
      <c r="F45" s="14" t="s">
        <v>792</v>
      </c>
      <c r="G45" s="14" t="s">
        <v>326</v>
      </c>
      <c r="H45" s="14" t="s">
        <v>793</v>
      </c>
      <c r="I45" s="14" t="s">
        <v>25</v>
      </c>
    </row>
    <row r="46" ht="409.6" customHeight="1" spans="1:9" x14ac:dyDescent="0.25">
      <c r="A46" s="14" t="s">
        <v>794</v>
      </c>
      <c r="B46" s="14" t="s">
        <v>86</v>
      </c>
      <c r="C46" s="14" t="s">
        <v>795</v>
      </c>
      <c r="D46" s="14" t="s">
        <v>796</v>
      </c>
      <c r="E46" s="14" t="s">
        <v>797</v>
      </c>
      <c r="F46" s="14" t="s">
        <v>798</v>
      </c>
      <c r="G46" s="14" t="s">
        <v>104</v>
      </c>
      <c r="H46" s="14" t="s">
        <v>799</v>
      </c>
      <c r="I46" s="14" t="s">
        <v>13</v>
      </c>
    </row>
    <row r="47" ht="16" customHeight="1" spans="1:9" x14ac:dyDescent="0.25">
      <c r="A47" s="14" t="s">
        <v>800</v>
      </c>
      <c r="B47" s="14" t="s">
        <v>86</v>
      </c>
      <c r="C47" s="14" t="s">
        <v>795</v>
      </c>
      <c r="D47" s="14" t="s">
        <v>208</v>
      </c>
      <c r="E47" s="14" t="s">
        <v>801</v>
      </c>
      <c r="F47" s="14" t="s">
        <v>802</v>
      </c>
      <c r="G47" s="14" t="s">
        <v>203</v>
      </c>
      <c r="H47" s="14" t="s">
        <v>803</v>
      </c>
      <c r="I47" s="14" t="s">
        <v>25</v>
      </c>
    </row>
    <row r="48" ht="16" customHeight="1" spans="1:9" x14ac:dyDescent="0.25">
      <c r="A48" s="14" t="s">
        <v>804</v>
      </c>
      <c r="B48" s="14" t="s">
        <v>86</v>
      </c>
      <c r="C48" s="14" t="s">
        <v>795</v>
      </c>
      <c r="D48" s="14" t="s">
        <v>132</v>
      </c>
      <c r="E48" s="14" t="s">
        <v>805</v>
      </c>
      <c r="F48" s="14" t="s">
        <v>806</v>
      </c>
      <c r="G48" s="14" t="s">
        <v>125</v>
      </c>
      <c r="H48" s="14" t="s">
        <v>807</v>
      </c>
      <c r="I48" s="14" t="s">
        <v>25</v>
      </c>
    </row>
    <row r="49" ht="16" customHeight="1" spans="1:9" x14ac:dyDescent="0.25">
      <c r="A49" s="14" t="s">
        <v>808</v>
      </c>
      <c r="B49" s="14" t="s">
        <v>86</v>
      </c>
      <c r="C49" s="14" t="s">
        <v>795</v>
      </c>
      <c r="D49" s="14" t="s">
        <v>809</v>
      </c>
      <c r="E49" s="14" t="s">
        <v>810</v>
      </c>
      <c r="F49" s="14" t="s">
        <v>811</v>
      </c>
      <c r="G49" s="14" t="s">
        <v>261</v>
      </c>
      <c r="H49" s="14" t="s">
        <v>812</v>
      </c>
      <c r="I49" s="14" t="s">
        <v>25</v>
      </c>
    </row>
    <row r="50" ht="16" customHeight="1" spans="1:9" x14ac:dyDescent="0.25">
      <c r="A50" s="14" t="s">
        <v>813</v>
      </c>
      <c r="B50" s="14" t="s">
        <v>379</v>
      </c>
      <c r="C50" s="14" t="s">
        <v>814</v>
      </c>
      <c r="D50" s="14" t="s">
        <v>815</v>
      </c>
      <c r="E50" s="14" t="s">
        <v>816</v>
      </c>
      <c r="F50" s="14" t="s">
        <v>817</v>
      </c>
      <c r="G50" s="14" t="s">
        <v>382</v>
      </c>
      <c r="H50" s="14" t="s">
        <v>818</v>
      </c>
      <c r="I50" s="14" t="s">
        <v>25</v>
      </c>
    </row>
    <row r="51" ht="16" customHeight="1" spans="1:9" x14ac:dyDescent="0.25">
      <c r="A51" s="14" t="s">
        <v>819</v>
      </c>
      <c r="B51" s="14" t="s">
        <v>379</v>
      </c>
      <c r="C51" s="14" t="s">
        <v>820</v>
      </c>
      <c r="D51" s="14" t="s">
        <v>399</v>
      </c>
      <c r="E51" s="14" t="s">
        <v>821</v>
      </c>
      <c r="F51" s="14" t="s">
        <v>822</v>
      </c>
      <c r="G51" s="14" t="s">
        <v>394</v>
      </c>
      <c r="H51" s="14" t="s">
        <v>823</v>
      </c>
      <c r="I51" s="14" t="s">
        <v>25</v>
      </c>
    </row>
    <row r="52" ht="64" customHeight="1" spans="1:9" x14ac:dyDescent="0.25">
      <c r="A52" s="14" t="s">
        <v>824</v>
      </c>
      <c r="B52" s="14" t="s">
        <v>825</v>
      </c>
      <c r="C52" s="14" t="s">
        <v>826</v>
      </c>
      <c r="D52" s="14" t="s">
        <v>827</v>
      </c>
      <c r="E52" s="14" t="s">
        <v>828</v>
      </c>
      <c r="F52" s="14" t="s">
        <v>829</v>
      </c>
      <c r="G52" s="14" t="s">
        <v>472</v>
      </c>
      <c r="H52" s="14" t="s">
        <v>830</v>
      </c>
      <c r="I52" s="14" t="s">
        <v>13</v>
      </c>
    </row>
    <row r="53" ht="80" customHeight="1" spans="1:9" x14ac:dyDescent="0.25">
      <c r="A53" s="14" t="s">
        <v>831</v>
      </c>
      <c r="B53" s="14" t="s">
        <v>825</v>
      </c>
      <c r="C53" s="14" t="s">
        <v>826</v>
      </c>
      <c r="D53" s="14" t="s">
        <v>832</v>
      </c>
      <c r="E53" s="14" t="s">
        <v>833</v>
      </c>
      <c r="F53" s="14" t="s">
        <v>834</v>
      </c>
      <c r="G53" s="14" t="s">
        <v>481</v>
      </c>
      <c r="H53" s="14" t="s">
        <v>835</v>
      </c>
      <c r="I53" s="14" t="s">
        <v>13</v>
      </c>
    </row>
    <row r="54" ht="144" customHeight="1" spans="1:9" x14ac:dyDescent="0.25">
      <c r="A54" s="14" t="s">
        <v>836</v>
      </c>
      <c r="B54" s="14" t="s">
        <v>825</v>
      </c>
      <c r="C54" s="14" t="s">
        <v>826</v>
      </c>
      <c r="D54" s="14" t="s">
        <v>492</v>
      </c>
      <c r="E54" s="14" t="s">
        <v>837</v>
      </c>
      <c r="F54" s="14" t="s">
        <v>838</v>
      </c>
      <c r="G54" s="14" t="s">
        <v>487</v>
      </c>
      <c r="H54" s="14" t="s">
        <v>839</v>
      </c>
      <c r="I54" s="14" t="s">
        <v>13</v>
      </c>
    </row>
    <row r="55" ht="96" customHeight="1" spans="1:9" x14ac:dyDescent="0.25">
      <c r="A55" s="14" t="s">
        <v>840</v>
      </c>
      <c r="B55" s="14" t="s">
        <v>61</v>
      </c>
      <c r="C55" s="14" t="s">
        <v>841</v>
      </c>
      <c r="D55" s="14" t="s">
        <v>842</v>
      </c>
      <c r="E55" s="14" t="s">
        <v>843</v>
      </c>
      <c r="F55" s="14" t="s">
        <v>844</v>
      </c>
      <c r="G55" s="14" t="s">
        <v>57</v>
      </c>
      <c r="H55" s="14" t="s">
        <v>845</v>
      </c>
      <c r="I55" s="14" t="s">
        <v>13</v>
      </c>
    </row>
    <row r="56" ht="128" customHeight="1" spans="1:9" x14ac:dyDescent="0.25">
      <c r="A56" s="14" t="s">
        <v>846</v>
      </c>
      <c r="B56" s="14" t="s">
        <v>86</v>
      </c>
      <c r="C56" s="14" t="s">
        <v>847</v>
      </c>
      <c r="D56" s="14" t="s">
        <v>87</v>
      </c>
      <c r="E56" s="14" t="s">
        <v>848</v>
      </c>
      <c r="F56" s="14" t="s">
        <v>849</v>
      </c>
      <c r="G56" s="14" t="s">
        <v>81</v>
      </c>
      <c r="H56" s="14" t="s">
        <v>850</v>
      </c>
      <c r="I56" s="14" t="s">
        <v>13</v>
      </c>
    </row>
    <row r="57" ht="144" customHeight="1" spans="1:9" x14ac:dyDescent="0.25">
      <c r="A57" s="14" t="s">
        <v>851</v>
      </c>
      <c r="B57" s="14" t="s">
        <v>86</v>
      </c>
      <c r="C57" s="14" t="s">
        <v>795</v>
      </c>
      <c r="D57" s="14" t="s">
        <v>852</v>
      </c>
      <c r="E57" s="14" t="s">
        <v>853</v>
      </c>
      <c r="F57" s="14" t="s">
        <v>854</v>
      </c>
      <c r="G57" s="14" t="s">
        <v>88</v>
      </c>
      <c r="H57" s="14" t="s">
        <v>855</v>
      </c>
      <c r="I57" s="14" t="s">
        <v>13</v>
      </c>
    </row>
    <row r="58" ht="409.6" customHeight="1" spans="1:9" x14ac:dyDescent="0.25">
      <c r="A58" s="14" t="s">
        <v>856</v>
      </c>
      <c r="B58" s="14" t="s">
        <v>86</v>
      </c>
      <c r="C58" s="14" t="s">
        <v>795</v>
      </c>
      <c r="D58" s="14" t="s">
        <v>857</v>
      </c>
      <c r="E58" s="14" t="s">
        <v>858</v>
      </c>
      <c r="F58" s="14" t="s">
        <v>859</v>
      </c>
      <c r="G58" s="14" t="s">
        <v>110</v>
      </c>
      <c r="H58" s="14" t="s">
        <v>860</v>
      </c>
      <c r="I58" s="14" t="s">
        <v>13</v>
      </c>
    </row>
  </sheetData>
  <autoFilter ref="A1:I58"/>
  <conditionalFormatting sqref="I2:I58">
    <cfRule type="expression" dxfId="15" priority="1">
      <formula>$I2="Done"</formula>
    </cfRule>
    <cfRule type="expression" dxfId="16" priority="2">
      <formula>$I2="In Progress"</formula>
    </cfRule>
    <cfRule type="expression" dxfId="17" priority="3">
      <formula>$I2="Blocked"</formula>
    </cfRule>
    <cfRule type="expression" dxfId="18" priority="4">
      <formula>$I2="Review"</formula>
    </cfRule>
    <cfRule type="expression" dxfId="19" priority="5">
      <formula>$I2="Todo"</formula>
    </cfRule>
  </conditionalFormatting>
  <dataValidations count="2">
    <dataValidation type="list" allowBlank="1" sqref="I10:I50">
      <formula1>"Todo,In Progress,Blocked,Review,Done"</formula1>
    </dataValidation>
    <dataValidation type="list" allowBlank="1" sqref="I2:I50">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54"/>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4" customWidth="1"/>
    <col min="2" max="2" width="55" customWidth="1"/>
    <col min="3" max="3" width="45" customWidth="1"/>
    <col min="4" max="4" width="22" customWidth="1"/>
    <col min="5" max="5" width="14" customWidth="1"/>
  </cols>
  <sheetData>
    <row r="1" ht="16" customHeight="1" spans="1:5" x14ac:dyDescent="0.25">
      <c r="A1" s="10" t="s">
        <v>861</v>
      </c>
      <c r="B1" s="10" t="s">
        <v>862</v>
      </c>
      <c r="C1" s="10" t="s">
        <v>863</v>
      </c>
      <c r="D1" s="10" t="s">
        <v>864</v>
      </c>
      <c r="E1" s="10" t="s">
        <v>865</v>
      </c>
    </row>
    <row r="2" ht="32" customHeight="1" spans="1:5" x14ac:dyDescent="0.25">
      <c r="A2" s="14" t="s">
        <v>67</v>
      </c>
      <c r="B2" s="14" t="s">
        <v>567</v>
      </c>
      <c r="C2" s="14" t="s">
        <v>568</v>
      </c>
      <c r="D2" s="14" t="s">
        <v>69</v>
      </c>
      <c r="E2" s="14" t="s">
        <v>565</v>
      </c>
    </row>
    <row r="3" ht="16" customHeight="1" spans="1:5" x14ac:dyDescent="0.25">
      <c r="A3" s="14" t="s">
        <v>67</v>
      </c>
      <c r="B3" s="14" t="s">
        <v>573</v>
      </c>
      <c r="C3" s="14" t="s">
        <v>574</v>
      </c>
      <c r="D3" s="14" t="s">
        <v>93</v>
      </c>
      <c r="E3" s="14" t="s">
        <v>571</v>
      </c>
    </row>
    <row r="4" ht="16" customHeight="1" spans="1:5" x14ac:dyDescent="0.25">
      <c r="A4" s="14" t="s">
        <v>67</v>
      </c>
      <c r="B4" s="14" t="s">
        <v>578</v>
      </c>
      <c r="C4" s="14" t="s">
        <v>579</v>
      </c>
      <c r="D4" s="14" t="s">
        <v>93</v>
      </c>
      <c r="E4" s="14" t="s">
        <v>577</v>
      </c>
    </row>
    <row r="5" ht="64" customHeight="1" spans="1:5" x14ac:dyDescent="0.25">
      <c r="A5" s="14" t="s">
        <v>67</v>
      </c>
      <c r="B5" s="14" t="s">
        <v>584</v>
      </c>
      <c r="C5" s="14" t="s">
        <v>585</v>
      </c>
      <c r="D5" s="14" t="s">
        <v>587</v>
      </c>
      <c r="E5" s="14" t="s">
        <v>582</v>
      </c>
    </row>
    <row r="6" ht="48" customHeight="1" spans="1:5" x14ac:dyDescent="0.25">
      <c r="A6" s="14" t="s">
        <v>67</v>
      </c>
      <c r="B6" s="14" t="s">
        <v>590</v>
      </c>
      <c r="C6" s="14" t="s">
        <v>591</v>
      </c>
      <c r="D6" s="14" t="s">
        <v>133</v>
      </c>
      <c r="E6" s="14" t="s">
        <v>589</v>
      </c>
    </row>
    <row r="7" ht="48" customHeight="1" spans="1:5" x14ac:dyDescent="0.25">
      <c r="A7" s="14" t="s">
        <v>67</v>
      </c>
      <c r="B7" s="14" t="s">
        <v>590</v>
      </c>
      <c r="C7" s="14" t="s">
        <v>595</v>
      </c>
      <c r="D7" s="14" t="s">
        <v>139</v>
      </c>
      <c r="E7" s="14" t="s">
        <v>594</v>
      </c>
    </row>
    <row r="8" ht="32" customHeight="1" spans="1:5" x14ac:dyDescent="0.25">
      <c r="A8" s="14" t="s">
        <v>67</v>
      </c>
      <c r="B8" s="14" t="s">
        <v>599</v>
      </c>
      <c r="C8" s="14" t="s">
        <v>600</v>
      </c>
      <c r="D8" s="14" t="s">
        <v>587</v>
      </c>
      <c r="E8" s="14" t="s">
        <v>598</v>
      </c>
    </row>
    <row r="9" ht="16" customHeight="1" spans="1:5" x14ac:dyDescent="0.25">
      <c r="A9" s="14" t="s">
        <v>67</v>
      </c>
      <c r="B9" s="14" t="s">
        <v>604</v>
      </c>
      <c r="C9" s="14" t="s">
        <v>605</v>
      </c>
      <c r="D9" s="14" t="s">
        <v>139</v>
      </c>
      <c r="E9" s="14" t="s">
        <v>603</v>
      </c>
    </row>
    <row r="10" ht="16" customHeight="1" spans="1:5" x14ac:dyDescent="0.25">
      <c r="A10" s="14" t="s">
        <v>67</v>
      </c>
      <c r="B10" s="14" t="s">
        <v>610</v>
      </c>
      <c r="C10" s="14" t="s">
        <v>611</v>
      </c>
      <c r="D10" s="14" t="s">
        <v>152</v>
      </c>
      <c r="E10" s="14" t="s">
        <v>608</v>
      </c>
    </row>
    <row r="11" ht="16" customHeight="1" spans="1:5" x14ac:dyDescent="0.25">
      <c r="A11" s="14" t="s">
        <v>67</v>
      </c>
      <c r="B11" s="14" t="s">
        <v>615</v>
      </c>
      <c r="C11" s="14" t="s">
        <v>616</v>
      </c>
      <c r="D11" s="14" t="s">
        <v>152</v>
      </c>
      <c r="E11" s="14" t="s">
        <v>614</v>
      </c>
    </row>
    <row r="12" ht="16" customHeight="1" spans="1:5" x14ac:dyDescent="0.25">
      <c r="A12" s="14" t="s">
        <v>67</v>
      </c>
      <c r="B12" s="14" t="s">
        <v>621</v>
      </c>
      <c r="C12" s="14" t="s">
        <v>622</v>
      </c>
      <c r="D12" s="14" t="s">
        <v>195</v>
      </c>
      <c r="E12" s="14" t="s">
        <v>619</v>
      </c>
    </row>
    <row r="13" ht="30" customHeight="1" spans="1:5" x14ac:dyDescent="0.25">
      <c r="A13" s="14" t="s">
        <v>86</v>
      </c>
      <c r="B13" s="14" t="s">
        <v>500</v>
      </c>
      <c r="C13" s="14" t="s">
        <v>638</v>
      </c>
      <c r="D13" s="14" t="s">
        <v>494</v>
      </c>
      <c r="E13" s="14" t="s">
        <v>636</v>
      </c>
    </row>
    <row r="14" ht="45" customHeight="1" spans="1:5" x14ac:dyDescent="0.25">
      <c r="A14" s="14" t="s">
        <v>67</v>
      </c>
      <c r="B14" s="14" t="s">
        <v>642</v>
      </c>
      <c r="C14" s="14" t="s">
        <v>643</v>
      </c>
      <c r="D14" s="14" t="s">
        <v>494</v>
      </c>
      <c r="E14" s="14" t="s">
        <v>641</v>
      </c>
    </row>
    <row r="15" ht="60" customHeight="1" spans="1:5" x14ac:dyDescent="0.25">
      <c r="A15" s="14" t="s">
        <v>67</v>
      </c>
      <c r="B15" s="14" t="s">
        <v>647</v>
      </c>
      <c r="C15" s="14" t="s">
        <v>648</v>
      </c>
      <c r="D15" s="14" t="s">
        <v>494</v>
      </c>
      <c r="E15" s="14" t="s">
        <v>646</v>
      </c>
    </row>
    <row r="16" ht="45" customHeight="1" spans="1:5" x14ac:dyDescent="0.25">
      <c r="A16" s="14" t="s">
        <v>67</v>
      </c>
      <c r="B16" s="14" t="s">
        <v>652</v>
      </c>
      <c r="C16" s="14" t="s">
        <v>653</v>
      </c>
      <c r="D16" s="14" t="s">
        <v>494</v>
      </c>
      <c r="E16" s="14" t="s">
        <v>651</v>
      </c>
    </row>
    <row r="17" ht="60" customHeight="1" spans="1:5" x14ac:dyDescent="0.25">
      <c r="A17" s="14" t="s">
        <v>67</v>
      </c>
      <c r="B17" s="14" t="s">
        <v>658</v>
      </c>
      <c r="C17" s="14" t="s">
        <v>659</v>
      </c>
      <c r="D17" s="14" t="s">
        <v>494</v>
      </c>
      <c r="E17" s="14" t="s">
        <v>656</v>
      </c>
    </row>
    <row r="18" ht="32" customHeight="1" spans="1:5" x14ac:dyDescent="0.25">
      <c r="A18" s="14" t="s">
        <v>67</v>
      </c>
      <c r="B18" s="14" t="s">
        <v>599</v>
      </c>
      <c r="C18" s="14" t="s">
        <v>663</v>
      </c>
      <c r="D18" s="14" t="s">
        <v>494</v>
      </c>
      <c r="E18" s="14" t="s">
        <v>662</v>
      </c>
    </row>
    <row r="19" ht="90" customHeight="1" spans="1:5" x14ac:dyDescent="0.25">
      <c r="A19" s="14" t="s">
        <v>61</v>
      </c>
      <c r="B19" s="14" t="s">
        <v>668</v>
      </c>
      <c r="C19" s="14" t="s">
        <v>669</v>
      </c>
      <c r="D19" s="14" t="s">
        <v>494</v>
      </c>
      <c r="E19" s="14" t="s">
        <v>666</v>
      </c>
    </row>
    <row r="20" ht="55" customHeight="1" spans="1:5" x14ac:dyDescent="0.25">
      <c r="A20" s="14" t="s">
        <v>67</v>
      </c>
      <c r="B20" s="14" t="s">
        <v>674</v>
      </c>
      <c r="C20" s="14" t="s">
        <v>675</v>
      </c>
      <c r="D20" s="14" t="s">
        <v>494</v>
      </c>
      <c r="E20" s="14" t="s">
        <v>672</v>
      </c>
    </row>
    <row r="21" ht="16" customHeight="1" spans="1:5" x14ac:dyDescent="0.25">
      <c r="A21" s="14" t="s">
        <v>67</v>
      </c>
      <c r="B21" s="14" t="s">
        <v>679</v>
      </c>
      <c r="C21" s="14" t="s">
        <v>680</v>
      </c>
      <c r="D21" s="14" t="s">
        <v>175</v>
      </c>
      <c r="E21" s="14" t="s">
        <v>678</v>
      </c>
    </row>
    <row r="22" ht="16" customHeight="1" spans="1:5" x14ac:dyDescent="0.25">
      <c r="A22" s="14" t="s">
        <v>67</v>
      </c>
      <c r="B22" s="14" t="s">
        <v>684</v>
      </c>
      <c r="C22" s="14" t="s">
        <v>685</v>
      </c>
      <c r="D22" s="14" t="s">
        <v>175</v>
      </c>
      <c r="E22" s="14" t="s">
        <v>683</v>
      </c>
    </row>
    <row r="23" ht="16" customHeight="1" spans="1:5" x14ac:dyDescent="0.25">
      <c r="A23" s="14" t="s">
        <v>67</v>
      </c>
      <c r="B23" s="14" t="s">
        <v>690</v>
      </c>
      <c r="C23" s="14" t="s">
        <v>691</v>
      </c>
      <c r="D23" s="14" t="s">
        <v>693</v>
      </c>
      <c r="E23" s="14" t="s">
        <v>688</v>
      </c>
    </row>
    <row r="24" ht="16" customHeight="1" spans="1:5" x14ac:dyDescent="0.25">
      <c r="A24" s="14" t="s">
        <v>67</v>
      </c>
      <c r="B24" s="14" t="s">
        <v>174</v>
      </c>
      <c r="C24" s="14" t="s">
        <v>696</v>
      </c>
      <c r="D24" s="14" t="s">
        <v>693</v>
      </c>
      <c r="E24" s="14" t="s">
        <v>695</v>
      </c>
    </row>
    <row r="25" ht="16" customHeight="1" spans="1:5" x14ac:dyDescent="0.25">
      <c r="A25" s="14" t="s">
        <v>67</v>
      </c>
      <c r="B25" s="14" t="s">
        <v>701</v>
      </c>
      <c r="C25" s="14" t="s">
        <v>702</v>
      </c>
      <c r="D25" s="14" t="s">
        <v>214</v>
      </c>
      <c r="E25" s="14" t="s">
        <v>699</v>
      </c>
    </row>
    <row r="26" ht="16" customHeight="1" spans="1:5" x14ac:dyDescent="0.25">
      <c r="A26" s="14" t="s">
        <v>67</v>
      </c>
      <c r="B26" s="14" t="s">
        <v>706</v>
      </c>
      <c r="C26" s="14" t="s">
        <v>707</v>
      </c>
      <c r="D26" s="14" t="s">
        <v>709</v>
      </c>
      <c r="E26" s="14" t="s">
        <v>705</v>
      </c>
    </row>
    <row r="27" ht="16" customHeight="1" spans="1:5" x14ac:dyDescent="0.25">
      <c r="A27" s="14" t="s">
        <v>67</v>
      </c>
      <c r="B27" s="14" t="s">
        <v>235</v>
      </c>
      <c r="C27" s="14" t="s">
        <v>712</v>
      </c>
      <c r="D27" s="14" t="s">
        <v>709</v>
      </c>
      <c r="E27" s="14" t="s">
        <v>711</v>
      </c>
    </row>
    <row r="28" ht="16" customHeight="1" spans="1:5" x14ac:dyDescent="0.25">
      <c r="A28" s="14" t="s">
        <v>67</v>
      </c>
      <c r="B28" s="14" t="s">
        <v>241</v>
      </c>
      <c r="C28" s="14" t="s">
        <v>716</v>
      </c>
      <c r="D28" s="14" t="s">
        <v>236</v>
      </c>
      <c r="E28" s="14" t="s">
        <v>715</v>
      </c>
    </row>
    <row r="29" ht="16" customHeight="1" spans="1:5" x14ac:dyDescent="0.25">
      <c r="A29" s="14" t="s">
        <v>67</v>
      </c>
      <c r="B29" s="14" t="s">
        <v>721</v>
      </c>
      <c r="C29" s="14" t="s">
        <v>722</v>
      </c>
      <c r="D29" s="14" t="s">
        <v>267</v>
      </c>
      <c r="E29" s="14" t="s">
        <v>719</v>
      </c>
    </row>
    <row r="30" ht="16" customHeight="1" spans="1:5" x14ac:dyDescent="0.25">
      <c r="A30" s="14" t="s">
        <v>67</v>
      </c>
      <c r="B30" s="14" t="s">
        <v>726</v>
      </c>
      <c r="C30" s="14" t="s">
        <v>727</v>
      </c>
      <c r="D30" s="14" t="s">
        <v>267</v>
      </c>
      <c r="E30" s="14" t="s">
        <v>725</v>
      </c>
    </row>
    <row r="31" ht="16" customHeight="1" spans="1:5" x14ac:dyDescent="0.25">
      <c r="A31" s="14" t="s">
        <v>67</v>
      </c>
      <c r="B31" s="14" t="s">
        <v>732</v>
      </c>
      <c r="C31" s="14" t="s">
        <v>733</v>
      </c>
      <c r="D31" s="14" t="s">
        <v>292</v>
      </c>
      <c r="E31" s="14" t="s">
        <v>730</v>
      </c>
    </row>
    <row r="32" ht="16" customHeight="1" spans="1:5" x14ac:dyDescent="0.25">
      <c r="A32" s="14" t="s">
        <v>67</v>
      </c>
      <c r="B32" s="14" t="s">
        <v>320</v>
      </c>
      <c r="C32" s="14" t="s">
        <v>738</v>
      </c>
      <c r="D32" s="14" t="s">
        <v>315</v>
      </c>
      <c r="E32" s="14" t="s">
        <v>736</v>
      </c>
    </row>
    <row r="33" ht="16" customHeight="1" spans="1:5" x14ac:dyDescent="0.25">
      <c r="A33" s="14" t="s">
        <v>61</v>
      </c>
      <c r="B33" s="14" t="s">
        <v>742</v>
      </c>
      <c r="C33" s="14" t="s">
        <v>743</v>
      </c>
      <c r="D33" s="14" t="s">
        <v>99</v>
      </c>
      <c r="E33" s="14" t="s">
        <v>741</v>
      </c>
    </row>
    <row r="34" ht="16" customHeight="1" spans="1:5" x14ac:dyDescent="0.25">
      <c r="A34" s="14" t="s">
        <v>61</v>
      </c>
      <c r="B34" s="14" t="s">
        <v>747</v>
      </c>
      <c r="C34" s="14" t="s">
        <v>748</v>
      </c>
      <c r="D34" s="14" t="s">
        <v>99</v>
      </c>
      <c r="E34" s="14" t="s">
        <v>746</v>
      </c>
    </row>
    <row r="35" ht="16" customHeight="1" spans="1:5" x14ac:dyDescent="0.25">
      <c r="A35" s="14" t="s">
        <v>61</v>
      </c>
      <c r="B35" s="14" t="s">
        <v>627</v>
      </c>
      <c r="C35" s="14" t="s">
        <v>628</v>
      </c>
      <c r="D35" s="14" t="s">
        <v>145</v>
      </c>
      <c r="E35" s="14" t="s">
        <v>625</v>
      </c>
    </row>
    <row r="36" ht="16" customHeight="1" spans="1:5" x14ac:dyDescent="0.25">
      <c r="A36" s="14" t="s">
        <v>61</v>
      </c>
      <c r="B36" s="14" t="s">
        <v>632</v>
      </c>
      <c r="C36" s="14" t="s">
        <v>633</v>
      </c>
      <c r="D36" s="14" t="s">
        <v>145</v>
      </c>
      <c r="E36" s="14" t="s">
        <v>631</v>
      </c>
    </row>
    <row r="37" ht="16" customHeight="1" spans="1:5" x14ac:dyDescent="0.25">
      <c r="A37" s="14" t="s">
        <v>61</v>
      </c>
      <c r="B37" s="14" t="s">
        <v>753</v>
      </c>
      <c r="C37" s="14" t="s">
        <v>754</v>
      </c>
      <c r="D37" s="14" t="s">
        <v>189</v>
      </c>
      <c r="E37" s="14" t="s">
        <v>751</v>
      </c>
    </row>
    <row r="38" ht="16" customHeight="1" spans="1:5" x14ac:dyDescent="0.25">
      <c r="A38" s="14" t="s">
        <v>61</v>
      </c>
      <c r="B38" s="14" t="s">
        <v>758</v>
      </c>
      <c r="C38" s="14" t="s">
        <v>759</v>
      </c>
      <c r="D38" s="14" t="s">
        <v>761</v>
      </c>
      <c r="E38" s="14" t="s">
        <v>757</v>
      </c>
    </row>
    <row r="39" ht="16" customHeight="1" spans="1:5" x14ac:dyDescent="0.25">
      <c r="A39" s="14" t="s">
        <v>61</v>
      </c>
      <c r="B39" s="14" t="s">
        <v>764</v>
      </c>
      <c r="C39" s="14" t="s">
        <v>244</v>
      </c>
      <c r="D39" s="14" t="s">
        <v>766</v>
      </c>
      <c r="E39" s="14" t="s">
        <v>763</v>
      </c>
    </row>
    <row r="40" ht="16" customHeight="1" spans="1:5" x14ac:dyDescent="0.25">
      <c r="A40" s="14" t="s">
        <v>61</v>
      </c>
      <c r="B40" s="14" t="s">
        <v>769</v>
      </c>
      <c r="C40" s="14" t="s">
        <v>250</v>
      </c>
      <c r="D40" s="14" t="s">
        <v>249</v>
      </c>
      <c r="E40" s="14" t="s">
        <v>768</v>
      </c>
    </row>
    <row r="41" ht="16" customHeight="1" spans="1:5" x14ac:dyDescent="0.25">
      <c r="A41" s="14" t="s">
        <v>61</v>
      </c>
      <c r="B41" s="14" t="s">
        <v>773</v>
      </c>
      <c r="C41" s="14" t="s">
        <v>256</v>
      </c>
      <c r="D41" s="14" t="s">
        <v>255</v>
      </c>
      <c r="E41" s="14" t="s">
        <v>772</v>
      </c>
    </row>
    <row r="42" ht="16" customHeight="1" spans="1:5" x14ac:dyDescent="0.25">
      <c r="A42" s="14" t="s">
        <v>61</v>
      </c>
      <c r="B42" s="14" t="s">
        <v>777</v>
      </c>
      <c r="C42" s="14" t="s">
        <v>778</v>
      </c>
      <c r="D42" s="14" t="s">
        <v>297</v>
      </c>
      <c r="E42" s="14" t="s">
        <v>776</v>
      </c>
    </row>
    <row r="43" ht="16" customHeight="1" spans="1:5" x14ac:dyDescent="0.25">
      <c r="A43" s="14" t="s">
        <v>61</v>
      </c>
      <c r="B43" s="14" t="s">
        <v>284</v>
      </c>
      <c r="C43" s="14" t="s">
        <v>782</v>
      </c>
      <c r="D43" s="14" t="s">
        <v>279</v>
      </c>
      <c r="E43" s="14" t="s">
        <v>781</v>
      </c>
    </row>
    <row r="44" ht="16" customHeight="1" spans="1:5" x14ac:dyDescent="0.25">
      <c r="A44" s="14" t="s">
        <v>61</v>
      </c>
      <c r="B44" s="14" t="s">
        <v>308</v>
      </c>
      <c r="C44" s="14" t="s">
        <v>787</v>
      </c>
      <c r="D44" s="14" t="s">
        <v>303</v>
      </c>
      <c r="E44" s="14" t="s">
        <v>785</v>
      </c>
    </row>
    <row r="45" ht="16" customHeight="1" spans="1:5" x14ac:dyDescent="0.25">
      <c r="A45" s="14" t="s">
        <v>61</v>
      </c>
      <c r="B45" s="14" t="s">
        <v>331</v>
      </c>
      <c r="C45" s="14" t="s">
        <v>791</v>
      </c>
      <c r="D45" s="14" t="s">
        <v>326</v>
      </c>
      <c r="E45" s="14" t="s">
        <v>790</v>
      </c>
    </row>
    <row r="46" ht="16" customHeight="1" spans="1:5" x14ac:dyDescent="0.25">
      <c r="A46" s="14" t="s">
        <v>86</v>
      </c>
      <c r="B46" s="14" t="s">
        <v>796</v>
      </c>
      <c r="C46" s="14" t="s">
        <v>797</v>
      </c>
      <c r="D46" s="14" t="s">
        <v>104</v>
      </c>
      <c r="E46" s="14" t="s">
        <v>794</v>
      </c>
    </row>
    <row r="47" ht="16" customHeight="1" spans="1:5" x14ac:dyDescent="0.25">
      <c r="A47" s="14" t="s">
        <v>86</v>
      </c>
      <c r="B47" s="14" t="s">
        <v>208</v>
      </c>
      <c r="C47" s="14" t="s">
        <v>801</v>
      </c>
      <c r="D47" s="14" t="s">
        <v>203</v>
      </c>
      <c r="E47" s="14" t="s">
        <v>800</v>
      </c>
    </row>
    <row r="48" ht="16" customHeight="1" spans="1:5" x14ac:dyDescent="0.25">
      <c r="A48" s="14" t="s">
        <v>86</v>
      </c>
      <c r="B48" s="14" t="s">
        <v>132</v>
      </c>
      <c r="C48" s="14" t="s">
        <v>805</v>
      </c>
      <c r="D48" s="14" t="s">
        <v>125</v>
      </c>
      <c r="E48" s="14" t="s">
        <v>804</v>
      </c>
    </row>
    <row r="49" ht="16" customHeight="1" spans="1:5" x14ac:dyDescent="0.25">
      <c r="A49" s="14" t="s">
        <v>86</v>
      </c>
      <c r="B49" s="14" t="s">
        <v>809</v>
      </c>
      <c r="C49" s="14" t="s">
        <v>810</v>
      </c>
      <c r="D49" s="14" t="s">
        <v>261</v>
      </c>
      <c r="E49" s="14" t="s">
        <v>808</v>
      </c>
    </row>
    <row r="50" ht="16" customHeight="1" spans="1:5" x14ac:dyDescent="0.25">
      <c r="A50" s="14" t="s">
        <v>379</v>
      </c>
      <c r="B50" s="14" t="s">
        <v>815</v>
      </c>
      <c r="C50" s="14" t="s">
        <v>816</v>
      </c>
      <c r="D50" s="14" t="s">
        <v>382</v>
      </c>
      <c r="E50" s="14" t="s">
        <v>813</v>
      </c>
    </row>
    <row r="51" ht="16" customHeight="1" spans="1:5" x14ac:dyDescent="0.25">
      <c r="A51" s="14" t="s">
        <v>379</v>
      </c>
      <c r="B51" s="14" t="s">
        <v>399</v>
      </c>
      <c r="C51" s="14" t="s">
        <v>821</v>
      </c>
      <c r="D51" s="14" t="s">
        <v>394</v>
      </c>
      <c r="E51" s="14" t="s">
        <v>819</v>
      </c>
    </row>
    <row r="52" ht="16" customHeight="1" spans="1:5" x14ac:dyDescent="0.25">
      <c r="A52" s="14" t="s">
        <v>86</v>
      </c>
      <c r="B52" s="14" t="s">
        <v>87</v>
      </c>
      <c r="C52" s="14" t="s">
        <v>848</v>
      </c>
      <c r="D52" s="14" t="s">
        <v>81</v>
      </c>
      <c r="E52" s="14" t="s">
        <v>846</v>
      </c>
    </row>
    <row r="53" ht="16" customHeight="1" spans="1:5" x14ac:dyDescent="0.25">
      <c r="A53" s="14" t="s">
        <v>86</v>
      </c>
      <c r="B53" s="14" t="s">
        <v>852</v>
      </c>
      <c r="C53" s="14" t="s">
        <v>853</v>
      </c>
      <c r="D53" s="14" t="s">
        <v>88</v>
      </c>
      <c r="E53" s="14" t="s">
        <v>851</v>
      </c>
    </row>
    <row r="54" ht="16" customHeight="1" spans="1:5" x14ac:dyDescent="0.25">
      <c r="A54" s="14" t="s">
        <v>86</v>
      </c>
      <c r="B54" s="14" t="s">
        <v>857</v>
      </c>
      <c r="C54" s="14" t="s">
        <v>858</v>
      </c>
      <c r="D54" s="14" t="s">
        <v>110</v>
      </c>
      <c r="E54" s="14" t="s">
        <v>856</v>
      </c>
    </row>
  </sheetData>
  <autoFilter ref="A1:E54"/>
  <pageMargins left="0.75" right="0.75" top="1" bottom="1" header="0.5" footer="0.5"/>
  <pageSetup orientation="portrait" horizontalDpi="4294967295" verticalDpi="4294967295" scale="100" fitToWidth="1" fitToHeight="0"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4"/>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28" customWidth="1"/>
    <col min="3" max="3" width="34" customWidth="1"/>
    <col min="4" max="4" width="24" customWidth="1"/>
    <col min="5" max="5" width="45" customWidth="1"/>
    <col min="6" max="6" width="32" customWidth="1"/>
    <col min="7" max="7" width="22" customWidth="1"/>
  </cols>
  <sheetData>
    <row r="1" ht="16" customHeight="1" spans="1:7" x14ac:dyDescent="0.25">
      <c r="A1" s="10" t="s">
        <v>866</v>
      </c>
      <c r="B1" s="10" t="s">
        <v>867</v>
      </c>
      <c r="C1" s="10" t="s">
        <v>863</v>
      </c>
      <c r="D1" s="10" t="s">
        <v>868</v>
      </c>
      <c r="E1" s="10" t="s">
        <v>869</v>
      </c>
      <c r="F1" s="10" t="s">
        <v>870</v>
      </c>
      <c r="G1" s="10" t="s">
        <v>871</v>
      </c>
    </row>
    <row r="2" ht="32" customHeight="1" spans="1:7" x14ac:dyDescent="0.25">
      <c r="A2" s="14" t="s">
        <v>872</v>
      </c>
      <c r="B2" s="14" t="s">
        <v>873</v>
      </c>
      <c r="C2" s="14" t="s">
        <v>874</v>
      </c>
      <c r="D2" s="14" t="s">
        <v>875</v>
      </c>
      <c r="E2" s="14" t="s">
        <v>876</v>
      </c>
      <c r="F2" s="14" t="s">
        <v>877</v>
      </c>
      <c r="G2" s="14" t="s">
        <v>878</v>
      </c>
    </row>
    <row r="3" ht="16" customHeight="1" spans="1:7" x14ac:dyDescent="0.25">
      <c r="A3" s="14" t="s">
        <v>872</v>
      </c>
      <c r="B3" s="14" t="s">
        <v>879</v>
      </c>
      <c r="C3" s="14" t="s">
        <v>880</v>
      </c>
      <c r="D3" s="14" t="s">
        <v>875</v>
      </c>
      <c r="E3" s="14" t="s">
        <v>881</v>
      </c>
      <c r="F3" s="14" t="s">
        <v>877</v>
      </c>
      <c r="G3" s="14" t="s">
        <v>882</v>
      </c>
    </row>
    <row r="4" ht="16" customHeight="1" spans="1:7" x14ac:dyDescent="0.25">
      <c r="A4" s="14" t="s">
        <v>883</v>
      </c>
      <c r="B4" s="14" t="s">
        <v>884</v>
      </c>
      <c r="C4" s="14" t="s">
        <v>885</v>
      </c>
      <c r="D4" s="14" t="s">
        <v>886</v>
      </c>
      <c r="E4" s="14" t="s">
        <v>887</v>
      </c>
      <c r="F4" s="14" t="s">
        <v>888</v>
      </c>
      <c r="G4" s="14" t="s">
        <v>889</v>
      </c>
    </row>
    <row r="5" ht="16" customHeight="1" spans="1:7" x14ac:dyDescent="0.25">
      <c r="A5" s="14" t="s">
        <v>872</v>
      </c>
      <c r="B5" s="14" t="s">
        <v>890</v>
      </c>
      <c r="C5" s="14" t="s">
        <v>891</v>
      </c>
      <c r="D5" s="14" t="s">
        <v>886</v>
      </c>
      <c r="E5" s="14" t="s">
        <v>892</v>
      </c>
      <c r="F5" s="14" t="s">
        <v>893</v>
      </c>
      <c r="G5" s="14" t="s">
        <v>164</v>
      </c>
    </row>
    <row r="6" ht="16" customHeight="1" spans="1:7" x14ac:dyDescent="0.25">
      <c r="A6" s="14" t="s">
        <v>872</v>
      </c>
      <c r="B6" s="14" t="s">
        <v>894</v>
      </c>
      <c r="C6" s="14" t="s">
        <v>895</v>
      </c>
      <c r="D6" s="14" t="s">
        <v>896</v>
      </c>
      <c r="E6" s="14" t="s">
        <v>897</v>
      </c>
      <c r="F6" s="14" t="s">
        <v>898</v>
      </c>
      <c r="G6" s="14" t="s">
        <v>170</v>
      </c>
    </row>
    <row r="7" ht="16" customHeight="1" spans="1:7" x14ac:dyDescent="0.25">
      <c r="A7" s="14" t="s">
        <v>883</v>
      </c>
      <c r="B7" s="14" t="s">
        <v>899</v>
      </c>
      <c r="C7" s="14" t="s">
        <v>900</v>
      </c>
      <c r="D7" s="14" t="s">
        <v>901</v>
      </c>
      <c r="E7" s="14" t="s">
        <v>902</v>
      </c>
      <c r="F7" s="14" t="s">
        <v>903</v>
      </c>
      <c r="G7" s="14" t="s">
        <v>904</v>
      </c>
    </row>
    <row r="8" ht="16" customHeight="1" spans="1:7" x14ac:dyDescent="0.25">
      <c r="A8" s="14" t="s">
        <v>872</v>
      </c>
      <c r="B8" s="14" t="s">
        <v>899</v>
      </c>
      <c r="C8" s="14" t="s">
        <v>905</v>
      </c>
      <c r="D8" s="14" t="s">
        <v>906</v>
      </c>
      <c r="E8" s="14" t="s">
        <v>907</v>
      </c>
      <c r="F8" s="14" t="s">
        <v>908</v>
      </c>
      <c r="G8" s="14" t="s">
        <v>909</v>
      </c>
    </row>
    <row r="9" ht="16" customHeight="1" spans="1:7" x14ac:dyDescent="0.25">
      <c r="A9" s="14" t="s">
        <v>883</v>
      </c>
      <c r="B9" s="14" t="s">
        <v>910</v>
      </c>
      <c r="C9" s="14" t="s">
        <v>911</v>
      </c>
      <c r="D9" s="14" t="s">
        <v>912</v>
      </c>
      <c r="E9" s="14" t="s">
        <v>913</v>
      </c>
      <c r="F9" s="14" t="s">
        <v>914</v>
      </c>
      <c r="G9" s="14" t="s">
        <v>915</v>
      </c>
    </row>
    <row r="10" ht="16" customHeight="1" spans="1:7" x14ac:dyDescent="0.25">
      <c r="A10" s="14" t="s">
        <v>916</v>
      </c>
      <c r="B10" s="14" t="s">
        <v>917</v>
      </c>
      <c r="C10" s="14" t="s">
        <v>918</v>
      </c>
      <c r="D10" s="14" t="s">
        <v>919</v>
      </c>
      <c r="E10" s="14" t="s">
        <v>920</v>
      </c>
      <c r="F10" s="14" t="s">
        <v>921</v>
      </c>
      <c r="G10" s="14" t="s">
        <v>922</v>
      </c>
    </row>
    <row r="11" ht="16" customHeight="1" spans="1:7" x14ac:dyDescent="0.25">
      <c r="A11" s="14" t="s">
        <v>872</v>
      </c>
      <c r="B11" s="14" t="s">
        <v>923</v>
      </c>
      <c r="C11" s="14" t="s">
        <v>924</v>
      </c>
      <c r="D11" s="14" t="s">
        <v>925</v>
      </c>
      <c r="E11" s="14" t="s">
        <v>926</v>
      </c>
      <c r="F11" s="14" t="s">
        <v>927</v>
      </c>
      <c r="G11" s="14" t="s">
        <v>928</v>
      </c>
    </row>
    <row r="12" ht="16" customHeight="1" spans="1:7" x14ac:dyDescent="0.25">
      <c r="A12" s="14" t="s">
        <v>872</v>
      </c>
      <c r="B12" s="14" t="s">
        <v>929</v>
      </c>
      <c r="C12" s="14" t="s">
        <v>930</v>
      </c>
      <c r="D12" s="14" t="s">
        <v>912</v>
      </c>
      <c r="E12" s="14" t="s">
        <v>931</v>
      </c>
      <c r="F12" s="14" t="s">
        <v>932</v>
      </c>
      <c r="G12" s="14" t="s">
        <v>933</v>
      </c>
    </row>
    <row r="13" ht="16" customHeight="1" spans="1:7" x14ac:dyDescent="0.25">
      <c r="A13" s="14" t="s">
        <v>883</v>
      </c>
      <c r="B13" s="14" t="s">
        <v>934</v>
      </c>
      <c r="C13" s="14" t="s">
        <v>935</v>
      </c>
      <c r="D13" s="14" t="s">
        <v>925</v>
      </c>
      <c r="E13" s="14" t="s">
        <v>936</v>
      </c>
      <c r="F13" s="14" t="s">
        <v>937</v>
      </c>
      <c r="G13" s="14" t="s">
        <v>938</v>
      </c>
    </row>
    <row r="14" ht="16" customHeight="1" spans="1:7" x14ac:dyDescent="0.25">
      <c r="A14" s="14" t="s">
        <v>916</v>
      </c>
      <c r="B14" s="14" t="s">
        <v>939</v>
      </c>
      <c r="C14" s="14" t="s">
        <v>940</v>
      </c>
      <c r="D14" s="14" t="s">
        <v>925</v>
      </c>
      <c r="E14" s="14" t="s">
        <v>941</v>
      </c>
      <c r="F14" s="14" t="s">
        <v>942</v>
      </c>
      <c r="G14" s="14" t="s">
        <v>938</v>
      </c>
    </row>
  </sheetData>
  <autoFilter ref="A1:G14"/>
  <pageMargins left="0.75" right="0.75" top="1" bottom="1" header="0.5" footer="0.5"/>
  <pageSetup orientation="portrait" horizontalDpi="4294967295" verticalDpi="4294967295" scale="100" fitToWidth="1" fitToHeight="0"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24" customWidth="1"/>
    <col min="2" max="2" width="34" customWidth="1"/>
    <col min="3" max="4" width="45" customWidth="1"/>
    <col min="5" max="5" width="32" customWidth="1"/>
    <col min="6" max="6" width="22" customWidth="1"/>
  </cols>
  <sheetData>
    <row r="1" ht="16" customHeight="1" spans="1:6" x14ac:dyDescent="0.25">
      <c r="A1" s="10" t="s">
        <v>943</v>
      </c>
      <c r="B1" s="10" t="s">
        <v>863</v>
      </c>
      <c r="C1" s="10" t="s">
        <v>944</v>
      </c>
      <c r="D1" s="10" t="s">
        <v>945</v>
      </c>
      <c r="E1" s="10" t="s">
        <v>946</v>
      </c>
      <c r="F1" s="10" t="s">
        <v>871</v>
      </c>
    </row>
    <row r="2" ht="32" customHeight="1" spans="1:6" x14ac:dyDescent="0.25">
      <c r="A2" s="14" t="s">
        <v>620</v>
      </c>
      <c r="B2" s="14" t="s">
        <v>947</v>
      </c>
      <c r="C2" s="14" t="s">
        <v>948</v>
      </c>
      <c r="D2" s="14" t="s">
        <v>949</v>
      </c>
      <c r="E2" s="14" t="s">
        <v>950</v>
      </c>
      <c r="F2" s="14" t="s">
        <v>951</v>
      </c>
    </row>
    <row r="3" ht="32" customHeight="1" spans="1:6" x14ac:dyDescent="0.25">
      <c r="A3" s="14" t="s">
        <v>952</v>
      </c>
      <c r="B3" s="14" t="s">
        <v>953</v>
      </c>
      <c r="C3" s="14" t="s">
        <v>954</v>
      </c>
      <c r="D3" s="14" t="s">
        <v>955</v>
      </c>
      <c r="E3" s="14" t="s">
        <v>950</v>
      </c>
      <c r="F3" s="14" t="s">
        <v>956</v>
      </c>
    </row>
    <row r="4" ht="32" customHeight="1" spans="1:6" x14ac:dyDescent="0.25">
      <c r="A4" s="14" t="s">
        <v>957</v>
      </c>
      <c r="B4" s="14" t="s">
        <v>958</v>
      </c>
      <c r="C4" s="14" t="s">
        <v>959</v>
      </c>
      <c r="D4" s="14" t="s">
        <v>960</v>
      </c>
      <c r="E4" s="14" t="s">
        <v>950</v>
      </c>
      <c r="F4" s="14" t="s">
        <v>961</v>
      </c>
    </row>
    <row r="5" ht="32" customHeight="1" spans="1:6" x14ac:dyDescent="0.25">
      <c r="A5" s="14" t="s">
        <v>962</v>
      </c>
      <c r="B5" s="14" t="s">
        <v>963</v>
      </c>
      <c r="C5" s="14" t="s">
        <v>964</v>
      </c>
      <c r="D5" s="14" t="s">
        <v>960</v>
      </c>
      <c r="E5" s="14" t="s">
        <v>950</v>
      </c>
      <c r="F5" s="14" t="s">
        <v>120</v>
      </c>
    </row>
    <row r="6" ht="32" customHeight="1" spans="1:6" x14ac:dyDescent="0.25">
      <c r="A6" s="14" t="s">
        <v>689</v>
      </c>
      <c r="B6" s="14" t="s">
        <v>965</v>
      </c>
      <c r="C6" s="14" t="s">
        <v>966</v>
      </c>
      <c r="D6" s="14" t="s">
        <v>967</v>
      </c>
      <c r="E6" s="14" t="s">
        <v>950</v>
      </c>
      <c r="F6" s="14" t="s">
        <v>968</v>
      </c>
    </row>
    <row r="7" ht="32" customHeight="1" spans="1:6" x14ac:dyDescent="0.25">
      <c r="A7" s="14" t="s">
        <v>700</v>
      </c>
      <c r="B7" s="14" t="s">
        <v>969</v>
      </c>
      <c r="C7" s="14" t="s">
        <v>970</v>
      </c>
      <c r="D7" s="14" t="s">
        <v>971</v>
      </c>
      <c r="E7" s="14" t="s">
        <v>950</v>
      </c>
      <c r="F7" s="14" t="s">
        <v>972</v>
      </c>
    </row>
    <row r="8" ht="16" customHeight="1" spans="1:6" x14ac:dyDescent="0.25">
      <c r="A8" s="14" t="s">
        <v>973</v>
      </c>
      <c r="B8" s="14" t="s">
        <v>974</v>
      </c>
      <c r="C8" s="14" t="s">
        <v>975</v>
      </c>
      <c r="D8" s="14" t="s">
        <v>976</v>
      </c>
      <c r="E8" s="14" t="s">
        <v>977</v>
      </c>
      <c r="F8" s="14" t="s">
        <v>978</v>
      </c>
    </row>
    <row r="9" ht="32" customHeight="1" spans="1:6" x14ac:dyDescent="0.25">
      <c r="A9" s="14" t="s">
        <v>979</v>
      </c>
      <c r="B9" s="14" t="s">
        <v>980</v>
      </c>
      <c r="C9" s="14" t="s">
        <v>981</v>
      </c>
      <c r="D9" s="14" t="s">
        <v>982</v>
      </c>
      <c r="E9" s="14" t="s">
        <v>950</v>
      </c>
      <c r="F9" s="14" t="s">
        <v>274</v>
      </c>
    </row>
    <row r="10" ht="32" customHeight="1" spans="1:6" x14ac:dyDescent="0.25">
      <c r="A10" s="14" t="s">
        <v>983</v>
      </c>
      <c r="B10" s="14" t="s">
        <v>984</v>
      </c>
      <c r="C10" s="14" t="s">
        <v>985</v>
      </c>
      <c r="D10" s="14" t="s">
        <v>986</v>
      </c>
      <c r="E10" s="14" t="s">
        <v>950</v>
      </c>
      <c r="F10" s="14" t="s">
        <v>987</v>
      </c>
    </row>
    <row r="11" ht="16" customHeight="1" spans="1:6" x14ac:dyDescent="0.25">
      <c r="A11" s="14" t="s">
        <v>737</v>
      </c>
      <c r="B11" s="14" t="s">
        <v>988</v>
      </c>
      <c r="C11" s="14" t="s">
        <v>989</v>
      </c>
      <c r="D11" s="14" t="s">
        <v>990</v>
      </c>
      <c r="E11" s="14" t="s">
        <v>991</v>
      </c>
      <c r="F11" s="14" t="s">
        <v>992</v>
      </c>
    </row>
    <row r="12" ht="16" customHeight="1" spans="1:6" x14ac:dyDescent="0.25">
      <c r="A12" s="14" t="s">
        <v>993</v>
      </c>
      <c r="B12" s="14" t="s">
        <v>994</v>
      </c>
      <c r="C12" s="14" t="s">
        <v>995</v>
      </c>
      <c r="D12" s="14" t="s">
        <v>996</v>
      </c>
      <c r="E12" s="14" t="s">
        <v>977</v>
      </c>
      <c r="F12" s="14" t="s">
        <v>363</v>
      </c>
    </row>
  </sheetData>
  <autoFilter ref="A1:F12"/>
  <pageMargins left="0.75" right="0.75" top="1" bottom="1" header="0.5" footer="0.5"/>
  <pageSetup orientation="portrait" horizontalDpi="4294967295" verticalDpi="4294967295" scale="100" fitToWidth="1" fitToHeight="0"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22" customWidth="1"/>
    <col min="3" max="3" width="24" customWidth="1"/>
    <col min="4" max="4" width="20" customWidth="1"/>
    <col min="5" max="6" width="38" customWidth="1"/>
    <col min="7" max="7" width="22" customWidth="1"/>
    <col min="8" max="8" width="14" customWidth="1"/>
  </cols>
  <sheetData>
    <row r="1" ht="16" customHeight="1" spans="1:8" x14ac:dyDescent="0.25">
      <c r="A1" s="10" t="s">
        <v>997</v>
      </c>
      <c r="B1" s="10" t="s">
        <v>998</v>
      </c>
      <c r="C1" s="10" t="s">
        <v>999</v>
      </c>
      <c r="D1" s="10" t="s">
        <v>1000</v>
      </c>
      <c r="E1" s="10" t="s">
        <v>863</v>
      </c>
      <c r="F1" s="10" t="s">
        <v>1001</v>
      </c>
      <c r="G1" s="10" t="s">
        <v>871</v>
      </c>
      <c r="H1" s="10" t="s">
        <v>22</v>
      </c>
    </row>
    <row r="2" ht="16" customHeight="1" spans="1:8" x14ac:dyDescent="0.25">
      <c r="A2" s="14" t="s">
        <v>1002</v>
      </c>
      <c r="B2" s="14" t="s">
        <v>1003</v>
      </c>
      <c r="C2" s="14" t="s">
        <v>1004</v>
      </c>
      <c r="D2" s="14" t="s">
        <v>1005</v>
      </c>
      <c r="E2" s="14" t="s">
        <v>1006</v>
      </c>
      <c r="F2" s="14" t="s">
        <v>1007</v>
      </c>
      <c r="G2" s="14" t="s">
        <v>1008</v>
      </c>
      <c r="H2" s="14" t="s">
        <v>25</v>
      </c>
    </row>
    <row r="3" ht="16" customHeight="1" spans="1:8" x14ac:dyDescent="0.25">
      <c r="A3" s="14" t="s">
        <v>1009</v>
      </c>
      <c r="B3" s="14" t="s">
        <v>1010</v>
      </c>
      <c r="C3" s="14" t="s">
        <v>1011</v>
      </c>
      <c r="D3" s="14" t="s">
        <v>1005</v>
      </c>
      <c r="E3" s="14" t="s">
        <v>1012</v>
      </c>
      <c r="F3" s="14" t="s">
        <v>1013</v>
      </c>
      <c r="G3" s="14" t="s">
        <v>1008</v>
      </c>
      <c r="H3" s="14" t="s">
        <v>25</v>
      </c>
    </row>
    <row r="4" ht="16" customHeight="1" spans="1:8" x14ac:dyDescent="0.25">
      <c r="A4" s="14" t="s">
        <v>1014</v>
      </c>
      <c r="B4" s="14" t="s">
        <v>333</v>
      </c>
      <c r="C4" s="14" t="s">
        <v>1015</v>
      </c>
      <c r="D4" s="14" t="s">
        <v>1016</v>
      </c>
      <c r="E4" s="14" t="s">
        <v>1017</v>
      </c>
      <c r="F4" s="14" t="s">
        <v>1018</v>
      </c>
      <c r="G4" s="14" t="s">
        <v>332</v>
      </c>
      <c r="H4" s="14" t="s">
        <v>25</v>
      </c>
    </row>
    <row r="5" ht="16" customHeight="1" spans="1:8" x14ac:dyDescent="0.25">
      <c r="A5" s="14" t="s">
        <v>1019</v>
      </c>
      <c r="B5" s="14" t="s">
        <v>1020</v>
      </c>
      <c r="C5" s="14" t="s">
        <v>1021</v>
      </c>
      <c r="D5" s="14" t="s">
        <v>1022</v>
      </c>
      <c r="E5" s="14" t="s">
        <v>1023</v>
      </c>
      <c r="F5" s="14" t="s">
        <v>1024</v>
      </c>
      <c r="G5" s="14" t="s">
        <v>339</v>
      </c>
      <c r="H5" s="14" t="s">
        <v>25</v>
      </c>
    </row>
    <row r="6" ht="16" customHeight="1" spans="1:8" x14ac:dyDescent="0.25">
      <c r="A6" s="14" t="s">
        <v>1025</v>
      </c>
      <c r="B6" s="14" t="s">
        <v>1026</v>
      </c>
      <c r="C6" s="14" t="s">
        <v>899</v>
      </c>
      <c r="D6" s="14" t="s">
        <v>1016</v>
      </c>
      <c r="E6" s="14" t="s">
        <v>1027</v>
      </c>
      <c r="F6" s="14" t="s">
        <v>1028</v>
      </c>
      <c r="G6" s="14" t="s">
        <v>766</v>
      </c>
      <c r="H6" s="14" t="s">
        <v>25</v>
      </c>
    </row>
    <row r="7" ht="16" customHeight="1" spans="1:8" x14ac:dyDescent="0.25">
      <c r="A7" s="14" t="s">
        <v>1029</v>
      </c>
      <c r="B7" s="14" t="s">
        <v>1030</v>
      </c>
      <c r="C7" s="14" t="s">
        <v>1031</v>
      </c>
      <c r="D7" s="14" t="s">
        <v>1016</v>
      </c>
      <c r="E7" s="14" t="s">
        <v>1032</v>
      </c>
      <c r="F7" s="14" t="s">
        <v>1033</v>
      </c>
      <c r="G7" s="14" t="s">
        <v>1034</v>
      </c>
      <c r="H7" s="14" t="s">
        <v>25</v>
      </c>
    </row>
    <row r="8" ht="16" customHeight="1" spans="1:8" x14ac:dyDescent="0.25">
      <c r="A8" s="14" t="s">
        <v>1035</v>
      </c>
      <c r="B8" s="14" t="s">
        <v>1036</v>
      </c>
      <c r="C8" s="14" t="s">
        <v>1037</v>
      </c>
      <c r="D8" s="14" t="s">
        <v>1038</v>
      </c>
      <c r="E8" s="14" t="s">
        <v>1039</v>
      </c>
      <c r="F8" s="14" t="s">
        <v>1040</v>
      </c>
      <c r="G8" s="14" t="s">
        <v>1041</v>
      </c>
      <c r="H8" s="14" t="s">
        <v>25</v>
      </c>
    </row>
    <row r="9" ht="16" customHeight="1" spans="1:8" x14ac:dyDescent="0.25">
      <c r="A9" s="14" t="s">
        <v>1042</v>
      </c>
      <c r="B9" s="14" t="s">
        <v>1043</v>
      </c>
      <c r="C9" s="14" t="s">
        <v>1044</v>
      </c>
      <c r="D9" s="14" t="s">
        <v>1022</v>
      </c>
      <c r="E9" s="14" t="s">
        <v>1045</v>
      </c>
      <c r="F9" s="14" t="s">
        <v>1046</v>
      </c>
      <c r="G9" s="14" t="s">
        <v>303</v>
      </c>
      <c r="H9" s="14" t="s">
        <v>25</v>
      </c>
    </row>
    <row r="10" ht="16" customHeight="1" spans="1:8" x14ac:dyDescent="0.25">
      <c r="A10" s="14" t="s">
        <v>1047</v>
      </c>
      <c r="B10" s="14" t="s">
        <v>1048</v>
      </c>
      <c r="C10" s="14" t="s">
        <v>884</v>
      </c>
      <c r="D10" s="14" t="s">
        <v>886</v>
      </c>
      <c r="E10" s="14" t="s">
        <v>1049</v>
      </c>
      <c r="F10" s="14" t="s">
        <v>1050</v>
      </c>
      <c r="G10" s="14" t="s">
        <v>182</v>
      </c>
      <c r="H10" s="14" t="s">
        <v>25</v>
      </c>
    </row>
    <row r="11" ht="16" customHeight="1" spans="1:8" x14ac:dyDescent="0.25">
      <c r="A11" s="14" t="s">
        <v>1051</v>
      </c>
      <c r="B11" s="14" t="s">
        <v>1052</v>
      </c>
      <c r="C11" s="14" t="s">
        <v>1053</v>
      </c>
      <c r="D11" s="14" t="s">
        <v>886</v>
      </c>
      <c r="E11" s="14" t="s">
        <v>1054</v>
      </c>
      <c r="F11" s="14" t="s">
        <v>1055</v>
      </c>
      <c r="G11" s="14" t="s">
        <v>195</v>
      </c>
      <c r="H11" s="14" t="s">
        <v>25</v>
      </c>
    </row>
    <row r="12" ht="16" customHeight="1" spans="1:8" x14ac:dyDescent="0.25">
      <c r="A12" s="14" t="s">
        <v>1056</v>
      </c>
      <c r="B12" s="14" t="s">
        <v>1057</v>
      </c>
      <c r="C12" s="14" t="s">
        <v>1058</v>
      </c>
      <c r="D12" s="14" t="s">
        <v>1005</v>
      </c>
      <c r="E12" s="14" t="s">
        <v>1059</v>
      </c>
      <c r="F12" s="14" t="s">
        <v>1060</v>
      </c>
      <c r="G12" s="14" t="s">
        <v>326</v>
      </c>
      <c r="H12" s="14" t="s">
        <v>25</v>
      </c>
    </row>
  </sheetData>
  <autoFilter ref="A1:H12"/>
  <conditionalFormatting sqref="H2:H12">
    <cfRule type="expression" dxfId="20" priority="1">
      <formula>$H2="Done"</formula>
    </cfRule>
    <cfRule type="expression" dxfId="21" priority="2">
      <formula>$H2="In Progress"</formula>
    </cfRule>
    <cfRule type="expression" dxfId="22" priority="3">
      <formula>$H2="Blocked"</formula>
    </cfRule>
    <cfRule type="expression" dxfId="23" priority="4">
      <formula>$H2="Review"</formula>
    </cfRule>
    <cfRule type="expression" dxfId="24" priority="5">
      <formula>$H2="Todo"</formula>
    </cfRule>
  </conditionalFormatting>
  <dataValidations count="2">
    <dataValidation type="list" allowBlank="1" sqref="H10:H12">
      <formula1>"Todo,In Progress,Blocked,Review,Done"</formula1>
    </dataValidation>
    <dataValidation type="list" allowBlank="1" sqref="H2:H12">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12" customWidth="1"/>
    <col min="3" max="3" width="42" customWidth="1"/>
    <col min="4" max="4" width="14" customWidth="1"/>
    <col min="5" max="5" width="55" customWidth="1"/>
    <col min="6" max="6" width="16" customWidth="1"/>
    <col min="7" max="7" width="14" customWidth="1"/>
  </cols>
  <sheetData>
    <row r="1" ht="16" customHeight="1" spans="1:7" x14ac:dyDescent="0.25">
      <c r="A1" s="10" t="s">
        <v>1061</v>
      </c>
      <c r="B1" s="10" t="s">
        <v>1062</v>
      </c>
      <c r="C1" s="10" t="s">
        <v>1063</v>
      </c>
      <c r="D1" s="10" t="s">
        <v>1064</v>
      </c>
      <c r="E1" s="10" t="s">
        <v>1065</v>
      </c>
      <c r="F1" s="10" t="s">
        <v>501</v>
      </c>
      <c r="G1" s="10" t="s">
        <v>22</v>
      </c>
    </row>
    <row r="2" ht="16" customHeight="1" spans="1:7" x14ac:dyDescent="0.25">
      <c r="A2" s="14" t="s">
        <v>1066</v>
      </c>
      <c r="B2" s="14" t="s">
        <v>1067</v>
      </c>
      <c r="C2" s="14" t="s">
        <v>1068</v>
      </c>
      <c r="D2" s="14" t="s">
        <v>52</v>
      </c>
      <c r="E2" s="14" t="s">
        <v>1069</v>
      </c>
      <c r="F2" s="14" t="s">
        <v>130</v>
      </c>
      <c r="G2" s="14" t="s">
        <v>1070</v>
      </c>
    </row>
    <row r="3" ht="32" customHeight="1" spans="1:7" x14ac:dyDescent="0.25">
      <c r="A3" s="14" t="s">
        <v>1071</v>
      </c>
      <c r="B3" s="14" t="s">
        <v>1067</v>
      </c>
      <c r="C3" s="14" t="s">
        <v>1072</v>
      </c>
      <c r="D3" s="14" t="s">
        <v>71</v>
      </c>
      <c r="E3" s="14" t="s">
        <v>1073</v>
      </c>
      <c r="F3" s="14" t="s">
        <v>67</v>
      </c>
      <c r="G3" s="14" t="s">
        <v>1070</v>
      </c>
    </row>
    <row r="4" ht="32" customHeight="1" spans="1:7" x14ac:dyDescent="0.25">
      <c r="A4" s="14" t="s">
        <v>1074</v>
      </c>
      <c r="B4" s="14" t="s">
        <v>1067</v>
      </c>
      <c r="C4" s="14" t="s">
        <v>1075</v>
      </c>
      <c r="D4" s="14" t="s">
        <v>184</v>
      </c>
      <c r="E4" s="14" t="s">
        <v>1076</v>
      </c>
      <c r="F4" s="14" t="s">
        <v>434</v>
      </c>
      <c r="G4" s="14" t="s">
        <v>1070</v>
      </c>
    </row>
    <row r="5" ht="16" customHeight="1" spans="1:7" x14ac:dyDescent="0.25">
      <c r="A5" s="14" t="s">
        <v>1077</v>
      </c>
      <c r="B5" s="14" t="s">
        <v>1067</v>
      </c>
      <c r="C5" s="14" t="s">
        <v>1078</v>
      </c>
      <c r="D5" s="14" t="s">
        <v>71</v>
      </c>
      <c r="E5" s="14" t="s">
        <v>1079</v>
      </c>
      <c r="F5" s="14" t="s">
        <v>434</v>
      </c>
      <c r="G5" s="14" t="s">
        <v>1070</v>
      </c>
    </row>
    <row r="6" ht="16" customHeight="1" spans="1:7" x14ac:dyDescent="0.25">
      <c r="A6" s="14" t="s">
        <v>1080</v>
      </c>
      <c r="B6" s="14" t="s">
        <v>1081</v>
      </c>
      <c r="C6" s="14" t="s">
        <v>1082</v>
      </c>
      <c r="D6" s="14" t="s">
        <v>71</v>
      </c>
      <c r="E6" s="14" t="s">
        <v>1083</v>
      </c>
      <c r="F6" s="14" t="s">
        <v>1084</v>
      </c>
      <c r="G6" s="14" t="s">
        <v>1085</v>
      </c>
    </row>
    <row r="7" ht="16" customHeight="1" spans="1:7" x14ac:dyDescent="0.25">
      <c r="A7" s="14" t="s">
        <v>1086</v>
      </c>
      <c r="B7" s="14" t="s">
        <v>1081</v>
      </c>
      <c r="C7" s="14" t="s">
        <v>1087</v>
      </c>
      <c r="D7" s="14" t="s">
        <v>71</v>
      </c>
      <c r="E7" s="14" t="s">
        <v>1088</v>
      </c>
      <c r="F7" s="14" t="s">
        <v>86</v>
      </c>
      <c r="G7" s="14" t="s">
        <v>1085</v>
      </c>
    </row>
    <row r="8" ht="90" customHeight="1" spans="1:7" x14ac:dyDescent="0.25">
      <c r="A8" s="14" t="s">
        <v>1089</v>
      </c>
      <c r="B8" s="14" t="s">
        <v>1081</v>
      </c>
      <c r="C8" s="14" t="s">
        <v>1090</v>
      </c>
      <c r="D8" s="14" t="s">
        <v>71</v>
      </c>
      <c r="E8" s="14" t="s">
        <v>1091</v>
      </c>
      <c r="F8" s="14" t="s">
        <v>1084</v>
      </c>
      <c r="G8" s="14" t="s">
        <v>1085</v>
      </c>
    </row>
  </sheetData>
  <autoFilter ref="A1:G8"/>
  <pageMargins left="0.75" right="0.75" top="1" bottom="1" header="0.5" footer="0.5"/>
  <pageSetup orientation="portrait" horizontalDpi="4294967295" verticalDpi="4294967295" scale="100" fitToWidth="1" fitToHeight="0"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8" customWidth="1"/>
    <col min="2" max="2" width="45" customWidth="1"/>
    <col min="3" max="3" width="18" customWidth="1"/>
    <col min="4" max="4" width="16" customWidth="1"/>
    <col min="5" max="5" width="14" customWidth="1"/>
    <col min="6" max="6" width="32" customWidth="1"/>
  </cols>
  <sheetData>
    <row r="1" ht="16" customHeight="1" spans="1:6" x14ac:dyDescent="0.25">
      <c r="A1" s="10" t="s">
        <v>861</v>
      </c>
      <c r="B1" s="10" t="s">
        <v>1092</v>
      </c>
      <c r="C1" s="10" t="s">
        <v>1093</v>
      </c>
      <c r="D1" s="10" t="s">
        <v>501</v>
      </c>
      <c r="E1" s="10" t="s">
        <v>22</v>
      </c>
      <c r="F1" s="10" t="s">
        <v>1094</v>
      </c>
    </row>
    <row r="2" ht="16" customHeight="1" spans="1:6" x14ac:dyDescent="0.25">
      <c r="A2" s="14" t="s">
        <v>130</v>
      </c>
      <c r="B2" s="14" t="s">
        <v>1095</v>
      </c>
      <c r="C2" s="14" t="s">
        <v>1096</v>
      </c>
      <c r="D2" s="14" t="s">
        <v>130</v>
      </c>
      <c r="E2" s="14" t="s">
        <v>25</v>
      </c>
      <c r="F2" s="14"/>
    </row>
    <row r="3" ht="16" customHeight="1" spans="1:6" x14ac:dyDescent="0.25">
      <c r="A3" s="14" t="s">
        <v>94</v>
      </c>
      <c r="B3" s="14" t="s">
        <v>1097</v>
      </c>
      <c r="C3" s="14" t="s">
        <v>1096</v>
      </c>
      <c r="D3" s="14" t="s">
        <v>67</v>
      </c>
      <c r="E3" s="14" t="s">
        <v>25</v>
      </c>
      <c r="F3" s="14"/>
    </row>
    <row r="4" ht="16" customHeight="1" spans="1:6" x14ac:dyDescent="0.25">
      <c r="A4" s="14" t="s">
        <v>19</v>
      </c>
      <c r="B4" s="14" t="s">
        <v>1098</v>
      </c>
      <c r="C4" s="14" t="s">
        <v>1096</v>
      </c>
      <c r="D4" s="14" t="s">
        <v>200</v>
      </c>
      <c r="E4" s="14" t="s">
        <v>25</v>
      </c>
      <c r="F4" s="14"/>
    </row>
    <row r="5" ht="16" customHeight="1" spans="1:6" x14ac:dyDescent="0.25">
      <c r="A5" s="14" t="s">
        <v>1099</v>
      </c>
      <c r="B5" s="14" t="s">
        <v>1100</v>
      </c>
      <c r="C5" s="14" t="s">
        <v>1096</v>
      </c>
      <c r="D5" s="14" t="s">
        <v>61</v>
      </c>
      <c r="E5" s="14" t="s">
        <v>25</v>
      </c>
      <c r="F5" s="14"/>
    </row>
    <row r="6" ht="16" customHeight="1" spans="1:6" x14ac:dyDescent="0.25">
      <c r="A6" s="14" t="s">
        <v>1101</v>
      </c>
      <c r="B6" s="14" t="s">
        <v>1102</v>
      </c>
      <c r="C6" s="14" t="s">
        <v>1096</v>
      </c>
      <c r="D6" s="14" t="s">
        <v>200</v>
      </c>
      <c r="E6" s="14" t="s">
        <v>25</v>
      </c>
      <c r="F6" s="14"/>
    </row>
    <row r="7" ht="16" customHeight="1" spans="1:6" x14ac:dyDescent="0.25">
      <c r="A7" s="14" t="s">
        <v>310</v>
      </c>
      <c r="B7" s="14" t="s">
        <v>1103</v>
      </c>
      <c r="C7" s="14" t="s">
        <v>1104</v>
      </c>
      <c r="D7" s="14" t="s">
        <v>200</v>
      </c>
      <c r="E7" s="14" t="s">
        <v>25</v>
      </c>
      <c r="F7" s="14"/>
    </row>
    <row r="8" ht="16" customHeight="1" spans="1:6" x14ac:dyDescent="0.25">
      <c r="A8" s="14" t="s">
        <v>375</v>
      </c>
      <c r="B8" s="14" t="s">
        <v>1105</v>
      </c>
      <c r="C8" s="14" t="s">
        <v>1096</v>
      </c>
      <c r="D8" s="14" t="s">
        <v>379</v>
      </c>
      <c r="E8" s="14" t="s">
        <v>25</v>
      </c>
      <c r="F8" s="14"/>
    </row>
    <row r="9" ht="16" customHeight="1" spans="1:6" x14ac:dyDescent="0.25">
      <c r="A9" s="14" t="s">
        <v>401</v>
      </c>
      <c r="B9" s="14" t="s">
        <v>1106</v>
      </c>
      <c r="C9" s="14" t="s">
        <v>1096</v>
      </c>
      <c r="D9" s="14" t="s">
        <v>55</v>
      </c>
      <c r="E9" s="14" t="s">
        <v>25</v>
      </c>
      <c r="F9" s="14"/>
    </row>
    <row r="10" ht="16" customHeight="1" spans="1:6" x14ac:dyDescent="0.25">
      <c r="A10" s="14" t="s">
        <v>401</v>
      </c>
      <c r="B10" s="14" t="s">
        <v>1107</v>
      </c>
      <c r="C10" s="14" t="s">
        <v>1096</v>
      </c>
      <c r="D10" s="14" t="s">
        <v>55</v>
      </c>
      <c r="E10" s="14" t="s">
        <v>25</v>
      </c>
      <c r="F10" s="14"/>
    </row>
    <row r="11" ht="16" customHeight="1" spans="1:6" x14ac:dyDescent="0.25">
      <c r="A11" s="14" t="s">
        <v>1108</v>
      </c>
      <c r="B11" s="14" t="s">
        <v>1109</v>
      </c>
      <c r="C11" s="14" t="s">
        <v>1104</v>
      </c>
      <c r="D11" s="14" t="s">
        <v>434</v>
      </c>
      <c r="E11" s="14" t="s">
        <v>25</v>
      </c>
      <c r="F11" s="14"/>
    </row>
  </sheetData>
  <autoFilter ref="A1:F11"/>
  <conditionalFormatting sqref="E2:E11">
    <cfRule type="expression" dxfId="25" priority="1">
      <formula>$E2="Done"</formula>
    </cfRule>
    <cfRule type="expression" dxfId="26" priority="2">
      <formula>$E2="In Progress"</formula>
    </cfRule>
    <cfRule type="expression" dxfId="27" priority="3">
      <formula>$E2="Blocked"</formula>
    </cfRule>
    <cfRule type="expression" dxfId="28" priority="4">
      <formula>$E2="Review"</formula>
    </cfRule>
    <cfRule type="expression" dxfId="29" priority="5">
      <formula>$E2="Todo"</formula>
    </cfRule>
  </conditionalFormatting>
  <dataValidations count="2">
    <dataValidation type="list" allowBlank="1" sqref="E10:E11">
      <formula1>"Todo,In Progress,Blocked,Review,Done"</formula1>
    </dataValidation>
    <dataValidation type="list" allowBlank="1" sqref="E2:E1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OpenAI ChatGPT</dc:creator>
  <dc:title>IAMONIT Project Control Workbook</dc:title>
  <cp:lastModifiedBy>Andualem Alemu</cp:lastModifiedBy>
  <dcterms:created xsi:type="dcterms:W3CDTF">2026-05-09T20:04:27Z</dcterms:created>
  <dcterms:modified xsi:type="dcterms:W3CDTF">2026-08-04T23:59:53Z</dcterms:modified>
</cp:coreProperties>
</file>