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1C9E9E24-878D-1748-BF91-19E4A6E4A569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Map'!$A$1:$E$43</definedName>
    <definedName name="_xlnm._FilterDatabase" localSheetId="6" hidden="1">'IntelliJ Coding Tasks'!$A$1:$I$47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<sst xmlns="http://schemas.openxmlformats.org/spreadsheetml/2006/main" count="3373" uniqueCount="1039">
  <si>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</si>
  <si>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</si>
  <si>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</si>
  <si>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</si>
  <si>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</si>
  <si>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</si>
  <si>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</si>
  <si>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</si>
  <si>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</si>
  <si>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</si>
  <si>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</si>
  <si>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</si>
  <si>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</si>
  <si>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</si>
  <si>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</si>
  <si>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</si>
  <si>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</si>
  <si>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</si>
  <si>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</si>
  <si>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</si>
  <si>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</si>
  <si>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</si>
  <si>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</si>
  <si>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</si>
  <si>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</si>
  <si>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</si>
  <si>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</si>
  <si>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</si>
  <si>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</si>
  <si>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</si>
  <si>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</si>
  <si>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</si>
  <si>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</si>
  <si>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</si>
  <si>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</si>
  <si>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</si>
  <si>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</si>
  <si>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</si>
  <si>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</si>
  <si>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</si>
  <si>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</si>
  <si>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</si>
  <si>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</si>
  <si>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</si>
  <si>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</si>
  <si>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</si>
  <si>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</si>
  <si>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</si>
  <si>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</si>
  <si>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</si>
  <si>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</si>
  <si>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</si>
  <si>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</si>
  <si>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</si>
  <si>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</si>
  <si>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</si>
  <si>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</si>
  <si>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</si>
  <si>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</si>
  <si>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</si>
  <si>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</si>
  <si>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</si>
  <si>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</si>
  <si>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</si>
  <si>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</si>
  <si>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</si>
  <si>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</si>
  <si>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</si>
  <si>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</si>
  <si>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</si>
  <si>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</si>
  <si>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</si>
  <si>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</si>
  <si>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</si>
  <si>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</si>
  <si>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</si>
  <si>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</si>
  <si>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</si>
  <si>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</si>
  <si>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</si>
  <si>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</si>
  <si>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</si>
  <si>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</si>
  <si>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</si>
  <si>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</si>
  <si>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</si>
  <si>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</si>
  <si>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</si>
  <si>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</si>
  <si>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</si>
  <si>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</si>
  <si>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</si>
  <si>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</si>
  <si>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</si>
  <si>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</si>
  <si>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</si>
  <si>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</si>
  <si>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</si>
  <si>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</si>
  <si>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</si>
  <si>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</si>
  <si>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</si>
  <si>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</si>
  <si>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</si>
  <si>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</si>
  <si>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</si>
  <si>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</si>
  <si>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</si>
  <si>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</si>
  <si>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</si>
  <si>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</si>
  <si>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</si>
  <si>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</si>
  <si>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</si>
  <si>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</si>
  <si>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</si>
  <si>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</si>
  <si>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</si>
  <si>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</si>
  <si>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</si>
  <si>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</si>
  <si>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</si>
  <si>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</si>
  <si>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</si>
  <si>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</si>
  <si>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</si>
  <si>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</si>
  <si>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</si>
  <si>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</si>
  <si>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</si>
  <si>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</si>
  <si>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</si>
  <si>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</si>
  <si>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</si>
  <si>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</si>
  <si>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</si>
  <si>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</si>
  <si>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</si>
  <si>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</si>
  <si>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</si>
  <si>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</si>
  <si>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</si>
  <si>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</si>
  <si>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</si>
  <si>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</si>
  <si>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</si>
  <si>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</si>
  <si>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</si>
  <si>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</si>
  <si>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</si>
  <si>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</si>
  <si>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</si>
  <si>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</si>
  <si>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</si>
  <si>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</si>
  <si>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</si>
  <si>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</si>
  <si>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</si>
  <si>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</si>
  <si>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</si>
  <si>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</si>
  <si>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</si>
  <si>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</si>
  <si>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</si>
  <si>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</si>
  <si>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</si>
  <si>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</si>
  <si>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</si>
  <si>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</si>
  <si>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</si>
  <si>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</si>
  <si>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</si>
  <si>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</si>
  <si>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</si>
  <si>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</si>
  <si>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</si>
  <si>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</si>
  <si>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</si>
  <si>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</si>
  <si>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</si>
  <si>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</si>
  <si>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</si>
  <si>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</si>
  <si>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</si>
  <si>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</si>
  <si>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</si>
  <si>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</si>
  <si>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</si>
  <si>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</si>
  <si>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</si>
  <si>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</si>
  <si>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</si>
  <si>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</si>
  <si>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</si>
  <si>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</si>
  <si>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</si>
  <si>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</si>
  <si>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</si>
  <si>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</si>
  <si>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</si>
  <si>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</si>
  <si>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</si>
  <si>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</si>
  <si>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</si>
  <si>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</si>
  <si>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</si>
  <si>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</si>
  <si>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</si>
  <si>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</si>
  <si>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</si>
  <si>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</si>
  <si>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</si>
  <si>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</si>
  <si>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</si>
  <si>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</si>
  <si>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</si>
  <si>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</si>
  <si>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</si>
  <si>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</si>
  <si>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</si>
  <si>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</si>
  <si>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</si>
  <si>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</si>
  <si>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</si>
  <si>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</si>
  <si>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</si>
  <si>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</si>
  <si>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</si>
  <si>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</si>
  <si>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</si>
  <si>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</si>
  <si>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</si>
  <si>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</si>
  <si>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</si>
  <si>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</si>
  <si>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</si>
  <si>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</si>
  <si>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</si>
  <si>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</si>
  <si>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</si>
  <si>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</si>
  <si>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</si>
  <si>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</si>
  <si>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</si>
  <si>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</si>
  <si>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</si>
  <si>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</si>
  <si>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</si>
  <si>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</si>
  <si>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</si>
  <si>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</si>
  <si>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</si>
  <si>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</si>
  <si>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</si>
  <si>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</si>
  <si>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</si>
  <si>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</si>
  <si>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</si>
  <si>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</si>
  <si>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</si>
  <si>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</si>
  <si>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</si>
  <si>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</si>
  <si>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</si>
  <si>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</si>
  <si>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</si>
  <si>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</si>
  <si>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</si>
  <si>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</si>
  <si>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</si>
  <si>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</si>
  <si>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</si>
  <si>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</si>
  <si>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</si>
  <si>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</si>
  <si>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</si>
  <si>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</si>
  <si>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</si>
  <si>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</si>
  <si>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</si>
  <si>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</si>
  <si>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</si>
  <si>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</si>
  <si>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</si>
  <si>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</si>
  <si>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</si>
  <si>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</si>
  <si>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</si>
  <si>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</si>
  <si>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</si>
  <si>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</si>
  <si>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</si>
  <si>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</si>
  <si>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</si>
  <si>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</si>
  <si>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</si>
  <si>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</si>
  <si>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</si>
  <si>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</si>
  <si>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</si>
  <si>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</si>
  <si>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</si>
  <si>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</si>
  <si>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</si>
  <si>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</si>
  <si>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</si>
  <si>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</si>
  <si>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</si>
  <si>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</si>
  <si>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</si>
  <si>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</si>
  <si>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</si>
  <si>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</si>
  <si>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</si>
  <si>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</si>
  <si>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</si>
  <si>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</si>
  <si>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</si>
  <si>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</si>
  <si>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</si>
  <si>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</si>
  <si>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</si>
  <si>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</si>
  <si>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</si>
  <si>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</si>
  <si>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</si>
  <si>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</si>
  <si>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</si>
  <si>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</si>
  <si>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</si>
  <si>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</si>
  <si>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</si>
  <si>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</si>
  <si>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</si>
  <si>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</si>
  <si>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</si>
  <si>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</si>
  <si>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</si>
  <si>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</si>
  <si>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</si>
  <si>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</si>
  <si>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</si>
  <si>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</si>
  <si>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</si>
  <si>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</si>
  <si>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</si>
  <si>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</si>
  <si>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</si>
  <si>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</si>
  <si>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</si>
  <si>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</si>
  <si>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</si>
  <si>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</si>
  <si>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</si>
  <si>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</si>
  <si>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</si>
  <si>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</si>
  <si>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</si>
  <si>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</si>
  <si>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</si>
  <si>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</si>
  <si>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</si>
  <si>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</si>
  <si>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</si>
  <si>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</si>
  <si>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</si>
  <si>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</si>
  <si>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</si>
  <si>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</si>
  <si>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</si>
  <si>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</si>
  <si>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</si>
  <si>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</si>
  <si>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</si>
  <si>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</si>
  <si>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</si>
  <si>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</si>
  <si>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</si>
  <si>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</si>
  <si>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</si>
  <si>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</si>
  <si>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</si>
  <si>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</si>
  <si>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</si>
  <si>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</si>
  <si>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</si>
  <si>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</si>
  <si>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</si>
  <si>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</si>
  <si>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</si>
  <si>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</si>
  <si>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</si>
  <si>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</si>
  <si>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</si>
  <si>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</si>
  <si>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</si>
  <si>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</si>
  <si>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</si>
  <si>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</si>
  <si>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</si>
  <si>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</si>
  <si>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</si>
  <si>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</si>
  <si>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</si>
  <si>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</si>
  <si>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</si>
  <si>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</si>
  <si>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</si>
  <si>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</si>
  <si>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</si>
  <si>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</si>
  <si>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</si>
  <si>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</si>
  <si>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</si>
  <si>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</si>
  <si>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</si>
  <si>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</si>
  <si>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</si>
  <si>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</si>
  <si>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</si>
  <si>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</si>
  <si>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</si>
  <si>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</si>
  <si>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</si>
  <si>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</si>
  <si>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</si>
  <si>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</si>
  <si>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</si>
  <si>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</si>
  <si>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</si>
  <si>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</si>
  <si>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</si>
  <si>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</si>
  <si>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</si>
  <si>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</si>
  <si>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</si>
  <si>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</si>
  <si>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</si>
  <si>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</si>
  <si>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</si>
  <si>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</si>
  <si>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</si>
  <si>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</si>
  <si>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</si>
  <si>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</si>
  <si>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</si>
  <si>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</si>
  <si>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</si>
  <si>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</si>
  <si>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</si>
  <si>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</si>
  <si>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</si>
  <si>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</si>
  <si>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</si>
  <si>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</si>
  <si>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</si>
  <si>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</si>
  <si>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</si>
  <si>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</si>
  <si>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</si>
  <si>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</si>
  <si>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</si>
  <si>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</si>
  <si>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</si>
  <si>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</si>
  <si>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</si>
  <si>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</si>
  <si>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</si>
  <si>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</si>
  <si>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</si>
  <si>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</si>
  <si>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</si>
  <si>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</si>
  <si>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</si>
  <si>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</si>
  <si>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</si>
  <si>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</si>
  <si>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</si>
  <si>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</si>
  <si>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</si>
  <si>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</si>
  <si>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</si>
  <si>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</si>
  <si>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</si>
  <si>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</si>
  <si>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</si>
  <si>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</si>
  <si>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</si>
  <si>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</si>
  <si>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</si>
  <si>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</si>
  <si>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</si>
  <si>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</si>
  <si>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</si>
  <si>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</si>
  <si>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</si>
  <si>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</si>
  <si>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</si>
  <si>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</si>
  <si>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</si>
  <si>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</si>
  <si>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</si>
  <si>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</si>
  <si>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</si>
  <si>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</si>
  <si>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</si>
  <si>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</si>
  <si>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</si>
  <si>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</si>
  <si>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</si>
  <si>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</si>
  <si>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</si>
  <si>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</si>
  <si>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</si>
  <si>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</si>
  <si>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</si>
  <si>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</si>
  <si>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</si>
  <si>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</si>
  <si>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</si>
  <si>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</si>
  <si>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</si>
  <si>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</si>
  <si>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</si>
  <si>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</si>
  <si>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</si>
  <si>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</si>
  <si>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</si>
  <si>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</si>
  <si>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</si>
  <si>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</si>
  <si>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</si>
  <si>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</si>
  <si>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</si>
  <si>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</si>
  <si>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</si>
  <si>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</si>
  <si>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</si>
  <si>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</si>
  <si>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</si>
  <si>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</si>
  <si>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</si>
  <si>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</si>
  <si>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</si>
  <si>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</si>
  <si>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</si>
  <si>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</si>
  <si>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</si>
  <si>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</si>
  <si>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</si>
  <si>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</si>
  <si>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</si>
  <si>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</si>
  <si>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</si>
  <si>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</si>
  <si>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</si>
  <si>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</si>
  <si>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</si>
  <si>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</si>
  <si>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</si>
  <si>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</si>
  <si>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</si>
  <si>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</si>
  <si>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</si>
  <si>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</si>
  <si>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</si>
  <si>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</si>
  <si>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</si>
  <si>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</si>
  <si>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</si>
  <si>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</si>
  <si>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</si>
  <si>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</si>
  <si>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</si>
  <si>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</si>
  <si>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</si>
  <si>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</si>
  <si>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</si>
  <si>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</si>
  <si>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</si>
  <si>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</si>
  <si>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</si>
  <si>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</si>
  <si>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</si>
  <si>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</si>
  <si>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</si>
  <si>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</si>
  <si>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</si>
  <si>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</si>
  <si>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</si>
  <si>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</si>
  <si>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</si>
  <si>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</si>
  <si>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</si>
  <si>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</si>
  <si>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</si>
  <si>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</si>
  <si>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</si>
  <si>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</si>
  <si>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</si>
  <si>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</si>
  <si>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</si>
  <si>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</si>
  <si>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</si>
  <si>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</si>
  <si>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</si>
  <si>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</si>
  <si>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</si>
  <si>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</si>
  <si>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</si>
  <si>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</si>
  <si>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</si>
  <si>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</si>
  <si>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</si>
  <si>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</si>
  <si>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</si>
  <si>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</si>
  <si>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</si>
  <si>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</si>
  <si>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</si>
  <si>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</si>
  <si>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</si>
  <si>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</si>
  <si>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</si>
  <si>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</si>
  <si>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</si>
  <si>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</si>
  <si>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</si>
  <si>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</si>
  <si>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</si>
  <si>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</si>
  <si>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</si>
  <si>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</si>
  <si>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</si>
  <si>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</si>
  <si>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</si>
  <si>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</si>
  <si>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</si>
  <si>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</si>
  <si>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</si>
  <si>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</si>
  <si>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</si>
  <si>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</si>
  <si>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</si>
  <si>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</si>
  <si>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</si>
  <si>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</si>
  <si>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</si>
  <si>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</si>
  <si>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</si>
  <si>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</si>
  <si>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</si>
  <si>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</si>
  <si>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</si>
  <si>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</si>
  <si>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</si>
  <si>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</si>
  <si>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</si>
  <si>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</si>
  <si>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</si>
  <si>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</si>
  <si>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</si>
  <si>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</si>
  <si>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</si>
  <si>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</si>
  <si>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</si>
  <si>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</si>
  <si>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</si>
  <si>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</si>
  <si>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</si>
  <si>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</si>
  <si>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</si>
  <si>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</si>
  <si>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</si>
  <si>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</si>
  <si>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</si>
  <si>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</si>
  <si>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</si>
  <si>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</si>
  <si>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</si>
  <si>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</si>
  <si>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</si>
  <si>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</si>
  <si>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</si>
  <si>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</si>
  <si>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</si>
  <si>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</si>
  <si>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</si>
  <si>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</si>
  <si>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</si>
  <si>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</si>
  <si>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</si>
  <si>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</si>
  <si>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</si>
  <si>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</si>
  <si>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</si>
  <si>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</si>
  <si>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</si>
  <si>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</si>
  <si>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</si>
  <si>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</si>
  <si>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</si>
  <si>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</si>
  <si>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</si>
  <si>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</si>
  <si>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</si>
  <si>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</si>
  <si>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</si>
  <si>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</si>
  <si>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</si>
  <si>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</si>
  <si>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</si>
  <si>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</si>
  <si>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</si>
  <si>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</si>
  <si>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</si>
  <si>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</si>
  <si>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</si>
  <si>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</si>
  <si>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</si>
  <si>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</si>
  <si>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</si>
  <si>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</si>
  <si>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</si>
  <si>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</si>
  <si>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</si>
  <si>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</si>
  <si>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</si>
  <si>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</si>
  <si>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</si>
  <si>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</si>
  <si>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</si>
  <si>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</si>
  <si>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</si>
  <si>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</si>
  <si>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</si>
  <si>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</si>
  <si>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</si>
  <si>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</si>
  <si>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</si>
  <si>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</si>
  <si>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</si>
  <si>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</si>
  <si>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</si>
  <si>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</si>
  <si>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</si>
  <si>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</si>
  <si>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</si>
  <si>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</si>
  <si>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</si>
  <si>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</si>
  <si>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</si>
  <si>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</si>
  <si>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</si>
  <si>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</si>
  <si>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</si>
  <si>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</si>
  <si>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</si>
  <si>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</si>
  <si>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</si>
  <si>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</si>
  <si>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</si>
  <si>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</si>
  <si>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</si>
  <si>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</si>
  <si>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</si>
  <si>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</si>
  <si>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</si>
  <si>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</si>
  <si>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</si>
  <si>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</si>
  <si>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</si>
  <si>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</si>
  <si>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</si>
  <si>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</si>
  <si>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</si>
  <si>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</si>
  <si>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</si>
  <si>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</si>
  <si>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</si>
  <si>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</si>
  <si>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</si>
  <si>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</si>
  <si>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</si>
  <si>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</si>
  <si>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</si>
  <si>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</si>
  <si>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</si>
  <si>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</si>
  <si>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</si>
  <si>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</si>
  <si>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</si>
  <si>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</si>
  <si>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</si>
  <si>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</si>
  <si>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</si>
  <si>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</si>
  <si>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</si>
  <si>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</si>
  <si>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</si>
  <si>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</si>
  <si>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</si>
  <si>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</si>
  <si>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</si>
  <si>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</si>
  <si>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</si>
  <si>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</si>
  <si>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</si>
  <si>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</si>
  <si>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</si>
  <si>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</si>
  <si>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</si>
  <si>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</si>
  <si>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</si>
  <si>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</si>
  <si>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</si>
  <si>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</si>
  <si>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</si>
  <si>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</si>
  <si>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</si>
  <si>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</si>
  <si>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</si>
  <si>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</si>
  <si>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</si>
  <si>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</si>
  <si>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</si>
  <si>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</si>
  <si>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</si>
  <si>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</si>
  <si>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</si>
  <si>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</si>
  <si>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</si>
  <si>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</si>
  <si>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</si>
  <si>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</si>
  <si>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</si>
  <si>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</si>
  <si>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</si>
  <si>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</si>
  <si>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</si>
  <si>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</si>
  <si>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</si>
  <si>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</si>
  <si>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</si>
  <si>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</si>
  <si>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</si>
  <si>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</si>
  <si>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</si>
  <si>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</si>
  <si>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</si>
  <si>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</si>
  <si>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</si>
  <si>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</si>
  <si>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</si>
  <si>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</si>
  <si>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</si>
  <si>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</si>
  <si>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</si>
  <si>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</si>
  <si>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</si>
  <si>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</si>
  <si>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</si>
  <si>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</si>
  <si>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</si>
  <si>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</si>
  <si>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</si>
  <si>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</si>
  <si>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</si>
  <si>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</si>
  <si>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</si>
  <si>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</si>
  <si>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</si>
  <si>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</si>
  <si>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</si>
  <si>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</si>
  <si>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</si>
  <si>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</si>
  <si>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</si>
  <si>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</si>
  <si>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</si>
  <si>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</si>
  <si>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</si>
  <si>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</si>
  <si>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</si>
  <si>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</si>
  <si>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</si>
  <si>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</si>
  <si>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</si>
  <si>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</si>
  <si>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</si>
  <si>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</si>
  <si>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</si>
  <si>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</si>
  <si>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</si>
  <si>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</si>
  <si>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</si>
  <si>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</si>
  <si>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</si>
  <si>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</si>
  <si>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</si>
  <si>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</si>
  <si>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</si>
  <si>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</si>
  <si>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</si>
  <si>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</si>
  <si>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</si>
  <si>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</si>
  <si>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</si>
  <si>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</si>
  <si>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</si>
  <si>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</si>
  <si>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</si>
  <si>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</si>
  <si>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</si>
  <si>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</si>
  <si>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</si>
  <si>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</si>
  <si>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</si>
  <si>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</si>
  <si>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</si>
  <si>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</si>
  <si>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</si>
  <si>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</si>
  <si>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</si>
  <si>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</si>
  <si>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</si>
  <si>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</si>
  <si>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</si>
  <si>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</si>
  <si>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</si>
  <si>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</si>
  <si>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</si>
  <si>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</si>
  <si>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</si>
  <si>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</si>
  <si>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</si>
  <si>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</si>
  <si>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</si>
  <si>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</si>
  <si>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</si>
  <si>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</si>
  <si>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</si>
  <si>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</si>
  <si>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</si>
  <si>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</si>
  <si>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</si>
  <si>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</si>
  <si>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</si>
  <si>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</si>
  <si>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</si>
  <si>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</si>
  <si>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</si>
  <si>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</si>
  <si>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</si>
  <si>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</si>
  <si>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</si>
  <si>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</si>
  <si>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</si>
  <si>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</si>
  <si>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</si>
  <si>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</si>
  <si>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</si>
  <si>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</si>
  <si>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</si>
  <si>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</si>
  <si>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</si>
  <si>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</si>
  <si>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</si>
  <si>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</si>
  <si>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</si>
  <si>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</si>
  <si>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</si>
  <si>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</si>
  <si>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</si>
  <si>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</si>
  <si>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</si>
  <si>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</si>
  <si>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</si>
  <si>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</si>
  <si>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</si>
  <si>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</si>
  <si>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</si>
  <si>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</si>
  <si>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</si>
  <si>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</si>
  <si>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</si>
  <si>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</si>
  <si>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</si>
  <si>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</si>
  <si>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</si>
  <si>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</si>
  <si>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</si>
  <si>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</si>
  <si>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</si>
  <si>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</si>
  <si>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</si>
  <si>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</si>
  <si>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</si>
  <si>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</si>
  <si>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</si>
  <si>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</si>
  <si>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</si>
  <si>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</si>
  <si>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</si>
  <si>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</si>
  <si>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</si>
  <si>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</si>
  <si>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</si>
  <si>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</si>
  <si>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</si>
  <si>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</si>
  <si>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</si>
  <si>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</si>
  <si>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</si>
  <si>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</si>
  <si>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</si>
  <si>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</si>
  <si>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</si>
  <si>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</si>
  <si>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</si>
  <si>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</si>
  <si>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</si>
  <si>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</si>
  <si>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</si>
  <si>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</si>
  <si>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</si>
  <si>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</si>
  <si>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</si>
  <si>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</si>
  <si>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</si>
  <si>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</si>
  <si>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</si>
  <si>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</si>
  <si>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</si>
  <si>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</si>
  <si>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</si>
  <si>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</si>
  <si>
    <t>CODE-046</t>
  </si>
  <si>
    <t>Create reusable audit trigger migration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</si>
</sst>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7" t="s">
        <v>0</v>
      </c>
      <c r="B1" s="14"/>
      <c r="C1" s="14"/>
      <c r="D1" s="14"/>
      <c r="E1" s="14"/>
      <c r="F1" s="14"/>
      <c r="G1" s="14"/>
      <c r="H1" s="14"/>
    </row>
    <row r="2" spans="1:8" x14ac:dyDescent="0.2">
      <c r="A2" s="15" t="s">
        <v>1</v>
      </c>
      <c r="B2" s="14"/>
      <c r="C2" s="14"/>
      <c r="D2" s="14"/>
      <c r="E2" s="14"/>
      <c r="F2" s="14"/>
      <c r="G2" s="14"/>
      <c r="H2" s="14"/>
    </row>
    <row r="4" spans="1:8" ht="19" x14ac:dyDescent="0.25">
      <c r="A4" s="16" t="s">
        <v>2</v>
      </c>
      <c r="B4" s="14"/>
      <c r="C4" s="14"/>
      <c r="D4" s="14"/>
      <c r="E4" s="14"/>
      <c r="F4" s="14"/>
      <c r="G4" s="14"/>
      <c r="H4" s="14"/>
    </row>
    <row r="5" spans="1:8" x14ac:dyDescent="0.2">
      <c r="A5" s="13" t="s">
        <v>3</v>
      </c>
      <c r="B5" s="14"/>
      <c r="C5" s="14"/>
      <c r="D5" s="14"/>
      <c r="E5" s="14"/>
      <c r="F5" s="14"/>
      <c r="G5" s="14"/>
      <c r="H5" s="14"/>
    </row>
    <row r="6" spans="1:8" x14ac:dyDescent="0.2">
      <c r="A6" s="14"/>
      <c r="B6" s="14"/>
      <c r="C6" s="14"/>
      <c r="D6" s="14"/>
      <c r="E6" s="14"/>
      <c r="F6" s="14"/>
      <c r="G6" s="14"/>
      <c r="H6" s="14"/>
    </row>
    <row r="8" spans="1:8" ht="19" x14ac:dyDescent="0.25">
      <c r="A8" s="16" t="s">
        <v>4</v>
      </c>
      <c r="B8" s="14"/>
      <c r="C8" s="14"/>
      <c r="D8" s="14"/>
      <c r="E8" s="14"/>
      <c r="F8" s="14"/>
      <c r="G8" s="14"/>
      <c r="H8" s="14"/>
    </row>
    <row r="9" spans="1:8" x14ac:dyDescent="0.2">
      <c r="A9" s="13" t="s">
        <v>5</v>
      </c>
      <c r="B9" s="14"/>
      <c r="C9" s="14"/>
      <c r="D9" s="14"/>
      <c r="E9" s="14"/>
      <c r="F9" s="14"/>
      <c r="G9" s="14"/>
      <c r="H9" s="14"/>
    </row>
    <row r="10" spans="1:8" x14ac:dyDescent="0.2">
      <c r="A10" s="14"/>
      <c r="B10" s="14"/>
      <c r="C10" s="14"/>
      <c r="D10" s="14"/>
      <c r="E10" s="14"/>
      <c r="F10" s="14"/>
      <c r="G10" s="14"/>
      <c r="H10" s="14"/>
    </row>
    <row r="12" spans="1:8" ht="19" x14ac:dyDescent="0.25">
      <c r="A12" s="16" t="s">
        <v>6</v>
      </c>
      <c r="B12" s="14"/>
      <c r="C12" s="14"/>
      <c r="D12" s="14"/>
      <c r="E12" s="14"/>
      <c r="F12" s="14"/>
      <c r="G12" s="14"/>
      <c r="H12" s="14"/>
    </row>
    <row r="13" spans="1:8" x14ac:dyDescent="0.2">
      <c r="A13" s="13" t="s">
        <v>7</v>
      </c>
      <c r="B13" s="14"/>
      <c r="C13" s="14"/>
      <c r="D13" s="14"/>
      <c r="E13" s="14"/>
      <c r="F13" s="14"/>
      <c r="G13" s="14"/>
      <c r="H13" s="14"/>
    </row>
    <row r="14" spans="1:8" x14ac:dyDescent="0.2">
      <c r="A14" s="14"/>
      <c r="B14" s="14"/>
      <c r="C14" s="14"/>
      <c r="D14" s="14"/>
      <c r="E14" s="14"/>
      <c r="F14" s="14"/>
      <c r="G14" s="14"/>
      <c r="H14" s="14"/>
    </row>
    <row r="16" spans="1:8" ht="19" x14ac:dyDescent="0.25">
      <c r="A16" s="16" t="s">
        <v>8</v>
      </c>
      <c r="B16" s="14"/>
      <c r="C16" s="14"/>
      <c r="D16" s="14"/>
      <c r="E16" s="14"/>
      <c r="F16" s="14"/>
      <c r="G16" s="14"/>
      <c r="H16" s="14"/>
    </row>
    <row r="17" spans="1:8" x14ac:dyDescent="0.2">
      <c r="A17" s="13" t="s">
        <v>9</v>
      </c>
      <c r="B17" s="14"/>
      <c r="C17" s="14"/>
      <c r="D17" s="14"/>
      <c r="E17" s="14"/>
      <c r="F17" s="14"/>
      <c r="G17" s="14"/>
      <c r="H17" s="14"/>
    </row>
    <row r="18" spans="1:8" x14ac:dyDescent="0.2">
      <c r="A18" s="14"/>
      <c r="B18" s="14"/>
      <c r="C18" s="14"/>
      <c r="D18" s="14"/>
      <c r="E18" s="14"/>
      <c r="F18" s="14"/>
      <c r="G18" s="14"/>
      <c r="H18" s="14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7" t="s">
        <v>10</v>
      </c>
      <c r="B1" s="14"/>
      <c r="C1" s="14"/>
      <c r="D1" s="14"/>
      <c r="E1" s="14"/>
      <c r="F1" s="14"/>
      <c r="G1" s="14"/>
      <c r="H1" s="14"/>
    </row>
    <row r="2" spans="1:9" x14ac:dyDescent="0.2">
      <c r="A2" s="15" t="s">
        <v>11</v>
      </c>
      <c r="B2" s="14"/>
      <c r="C2" s="14"/>
      <c r="D2" s="14"/>
      <c r="E2" s="14"/>
      <c r="F2" s="14"/>
      <c r="G2" s="14"/>
      <c r="H2" s="14"/>
    </row>
    <row r="4" spans="1:9" ht="16" x14ac:dyDescent="0.2">
      <c r="A4" s="19" t="s">
        <v>12</v>
      </c>
      <c r="B4" s="14"/>
      <c r="D4" s="19" t="s">
        <v>13</v>
      </c>
      <c r="E4" s="14"/>
      <c r="G4" s="19" t="s">
        <v>14</v>
      </c>
      <c r="H4" s="14"/>
    </row>
    <row r="5" spans="1:9" ht="24" x14ac:dyDescent="0.3">
      <c r="A5" s="18">
        <f>COUNTA(Backlog!A2:A500)</f>
        <v>70</v>
      </c>
      <c r="B5" s="14"/>
      <c r="D5" s="18">
        <f>COUNTIF(Backlog!F2:F500,"Done")</f>
        <v>8</v>
      </c>
      <c r="E5" s="14"/>
      <c r="G5" s="18">
        <f>COUNTIF(Backlog!F2:F500,"In Progress")</f>
        <v>1</v>
      </c>
      <c r="H5" s="14"/>
    </row>
    <row r="7" spans="1:9" ht="16" x14ac:dyDescent="0.2">
      <c r="A7" s="19" t="s">
        <v>15</v>
      </c>
      <c r="B7" s="14"/>
      <c r="D7" s="19" t="s">
        <v>16</v>
      </c>
      <c r="E7" s="14"/>
      <c r="G7" s="19" t="s">
        <v>17</v>
      </c>
      <c r="H7" s="14"/>
    </row>
    <row r="8" spans="1:9" ht="24" x14ac:dyDescent="0.3">
      <c r="A8" s="18">
        <f>COUNTIF(Backlog!F2:F500,"Blocked")</f>
        <v>0</v>
      </c>
      <c r="B8" s="14"/>
      <c r="D8" s="18">
        <f>SUM(Backlog!E2:E500)</f>
        <v>369</v>
      </c>
      <c r="E8" s="14"/>
      <c r="G8" s="18">
        <f>SUMIF(Backlog!F2:F500,"Done",Backlog!E2:E500)</f>
        <v>32</v>
      </c>
      <c r="H8" s="14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6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0.66666666666666663</v>
      </c>
      <c r="H12" t="s">
        <v>25</v>
      </c>
      <c r="I12">
        <f>COUNTIF(Backlog!F:F,H12)</f>
        <v>64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8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1016</v>
      </c>
      <c r="H3" s="9" t="s">
        <v>1017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922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923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924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925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926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927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928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929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930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931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932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933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934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935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936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937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938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939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940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941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942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943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944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945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946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947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948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949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950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951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952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953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954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955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956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957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958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959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960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961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962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963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964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954</v>
      </c>
      <c r="P71" s="5"/>
    </row>
    <row r="72" spans="1:16" ht="64" x14ac:dyDescent="0.2">
      <c r="A72" s="5" t="s">
        <v>905</v>
      </c>
      <c r="B72" s="5" t="s">
        <v>906</v>
      </c>
      <c r="C72" s="5" t="s">
        <v>907</v>
      </c>
      <c r="D72" s="5" t="s">
        <v>67</v>
      </c>
      <c r="E72" s="5">
        <v>3</v>
      </c>
      <c r="F72" s="5" t="s">
        <v>14</v>
      </c>
      <c r="G72" s="5" t="s">
        <v>908</v>
      </c>
      <c r="H72" s="5" t="s">
        <v>909</v>
      </c>
      <c r="I72" s="5" t="s">
        <v>55</v>
      </c>
      <c r="J72" s="6">
        <v>46230</v>
      </c>
      <c r="K72" s="5" t="s">
        <v>910</v>
      </c>
      <c r="L72" s="5">
        <v>1</v>
      </c>
      <c r="M72" s="6">
        <v>46230</v>
      </c>
      <c r="N72" s="5" t="s">
        <v>911</v>
      </c>
      <c r="O72" s="5" t="s">
        <v>912</v>
      </c>
      <c r="P72" s="5" t="s">
        <v>913</v>
      </c>
    </row>
    <row r="73" spans="1:16" ht="80" x14ac:dyDescent="0.2">
      <c r="A73" s="5" t="s">
        <v>965</v>
      </c>
      <c r="B73" s="5" t="s">
        <v>906</v>
      </c>
      <c r="C73" s="5" t="s">
        <v>966</v>
      </c>
      <c r="D73" s="5" t="s">
        <v>67</v>
      </c>
      <c r="E73" s="5">
        <v>3</v>
      </c>
      <c r="F73" s="5" t="s">
        <v>13</v>
      </c>
      <c r="G73" s="5" t="s">
        <v>967</v>
      </c>
      <c r="H73" s="5" t="s">
        <v>968</v>
      </c>
      <c r="I73" s="5" t="s">
        <v>55</v>
      </c>
      <c r="J73" s="6">
        <v>46230</v>
      </c>
      <c r="K73" s="5" t="s">
        <v>910</v>
      </c>
      <c r="L73" s="5">
        <v>1</v>
      </c>
      <c r="M73" s="6">
        <v>46230</v>
      </c>
      <c r="N73" s="5" t="s">
        <v>905</v>
      </c>
      <c r="O73" s="5" t="s">
        <v>969</v>
      </c>
      <c r="P73" s="5" t="s">
        <v>970</v>
      </c>
    </row>
    <row r="74" spans="1:16" ht="96" x14ac:dyDescent="0.2">
      <c r="A74" s="5" t="s">
        <v>1004</v>
      </c>
      <c r="B74" s="5" t="s">
        <v>906</v>
      </c>
      <c r="C74" s="5" t="s">
        <v>1005</v>
      </c>
      <c r="D74" s="5" t="s">
        <v>67</v>
      </c>
      <c r="E74" s="5">
        <v>5</v>
      </c>
      <c r="F74" s="5" t="s">
        <v>13</v>
      </c>
      <c r="G74" s="5" t="s">
        <v>1006</v>
      </c>
      <c r="H74" s="5" t="s">
        <v>1007</v>
      </c>
      <c r="I74" s="5" t="s">
        <v>55</v>
      </c>
      <c r="J74" s="6">
        <v>46230</v>
      </c>
      <c r="K74" s="5" t="s">
        <v>910</v>
      </c>
      <c r="L74" s="5">
        <v>2</v>
      </c>
      <c r="M74" s="6">
        <v>46231</v>
      </c>
      <c r="N74" s="5" t="s">
        <v>1008</v>
      </c>
      <c r="O74" s="5" t="s">
        <v>1009</v>
      </c>
      <c r="P74" s="5" t="s">
        <v>1010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M15" sqref="M15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1017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910</v>
      </c>
      <c r="B72" s="5" t="s">
        <v>905</v>
      </c>
      <c r="C72" s="5" t="s">
        <v>906</v>
      </c>
      <c r="D72" s="5" t="s">
        <v>907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911</v>
      </c>
      <c r="J72" s="5" t="s">
        <v>914</v>
      </c>
    </row>
    <row r="73" spans="1:10" ht="32" x14ac:dyDescent="0.2">
      <c r="A73" s="5" t="s">
        <v>910</v>
      </c>
      <c r="B73" s="5" t="s">
        <v>965</v>
      </c>
      <c r="C73" s="5" t="s">
        <v>906</v>
      </c>
      <c r="D73" s="5" t="s">
        <v>966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905</v>
      </c>
      <c r="J73" s="5" t="s">
        <v>971</v>
      </c>
    </row>
    <row r="74" spans="1:10" ht="48" x14ac:dyDescent="0.2">
      <c r="A74" s="5" t="s">
        <v>910</v>
      </c>
      <c r="B74" s="5" t="s">
        <v>1004</v>
      </c>
      <c r="C74" s="5" t="s">
        <v>906</v>
      </c>
      <c r="D74" s="5" t="s">
        <v>1005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1008</v>
      </c>
      <c r="J74" s="5" t="s">
        <v>1011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7"/>
  <sheetViews>
    <sheetView showGridLines="0" tabSelected="1" workbookViewId="0">
      <pane ySplit="1" topLeftCell="A34" activePane="bottomLeft" state="frozen"/>
      <selection pane="bottomLeft" activeCell="D52" sqref="D52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1028</v>
      </c>
      <c r="E2" s="5" t="s">
        <v>1029</v>
      </c>
      <c r="F2" s="5" t="s">
        <v>1030</v>
      </c>
      <c r="G2" s="5" t="s">
        <v>65</v>
      </c>
      <c r="H2" s="5" t="s">
        <v>1031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972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973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974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975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976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977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978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979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980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981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982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933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983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984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941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942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985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986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987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952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988</v>
      </c>
      <c r="E23" s="5" t="s">
        <v>582</v>
      </c>
      <c r="F23" s="5" t="s">
        <v>1024</v>
      </c>
      <c r="G23" s="5" t="s">
        <v>92</v>
      </c>
      <c r="H23" s="5" t="s">
        <v>1025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989</v>
      </c>
      <c r="E24" s="5" t="s">
        <v>585</v>
      </c>
      <c r="F24" s="5" t="s">
        <v>1026</v>
      </c>
      <c r="G24" s="5" t="s">
        <v>92</v>
      </c>
      <c r="H24" s="5" t="s">
        <v>1027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990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991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992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993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994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995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996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997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948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951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954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16" x14ac:dyDescent="0.2">
      <c r="A36" s="5" t="s">
        <v>632</v>
      </c>
      <c r="B36" s="5" t="s">
        <v>80</v>
      </c>
      <c r="C36" s="5" t="s">
        <v>633</v>
      </c>
      <c r="D36" s="5" t="s">
        <v>101</v>
      </c>
      <c r="E36" s="5" t="s">
        <v>634</v>
      </c>
      <c r="F36" s="5" t="s">
        <v>635</v>
      </c>
      <c r="G36" s="5" t="s">
        <v>96</v>
      </c>
      <c r="H36" s="5" t="s">
        <v>636</v>
      </c>
      <c r="I36" s="5" t="s">
        <v>25</v>
      </c>
    </row>
    <row r="37" spans="1:9" ht="16" x14ac:dyDescent="0.2">
      <c r="A37" s="5" t="s">
        <v>637</v>
      </c>
      <c r="B37" s="5" t="s">
        <v>80</v>
      </c>
      <c r="C37" s="5" t="s">
        <v>633</v>
      </c>
      <c r="D37" s="5" t="s">
        <v>189</v>
      </c>
      <c r="E37" s="5" t="s">
        <v>638</v>
      </c>
      <c r="F37" s="5" t="s">
        <v>639</v>
      </c>
      <c r="G37" s="5" t="s">
        <v>184</v>
      </c>
      <c r="H37" s="5" t="s">
        <v>640</v>
      </c>
      <c r="I37" s="5" t="s">
        <v>25</v>
      </c>
    </row>
    <row r="38" spans="1:9" ht="16" x14ac:dyDescent="0.2">
      <c r="A38" s="5" t="s">
        <v>641</v>
      </c>
      <c r="B38" s="5" t="s">
        <v>80</v>
      </c>
      <c r="C38" s="5" t="s">
        <v>633</v>
      </c>
      <c r="D38" s="5" t="s">
        <v>124</v>
      </c>
      <c r="E38" s="5" t="s">
        <v>642</v>
      </c>
      <c r="F38" s="5" t="s">
        <v>643</v>
      </c>
      <c r="G38" s="5" t="s">
        <v>117</v>
      </c>
      <c r="H38" s="5" t="s">
        <v>644</v>
      </c>
      <c r="I38" s="5" t="s">
        <v>25</v>
      </c>
    </row>
    <row r="39" spans="1:9" ht="16" x14ac:dyDescent="0.2">
      <c r="A39" s="5" t="s">
        <v>645</v>
      </c>
      <c r="B39" s="5" t="s">
        <v>80</v>
      </c>
      <c r="C39" s="5" t="s">
        <v>633</v>
      </c>
      <c r="D39" s="5" t="s">
        <v>646</v>
      </c>
      <c r="E39" s="5" t="s">
        <v>647</v>
      </c>
      <c r="F39" s="5" t="s">
        <v>648</v>
      </c>
      <c r="G39" s="5" t="s">
        <v>234</v>
      </c>
      <c r="H39" s="5" t="s">
        <v>649</v>
      </c>
      <c r="I39" s="5" t="s">
        <v>25</v>
      </c>
    </row>
    <row r="40" spans="1:9" ht="16" x14ac:dyDescent="0.2">
      <c r="A40" s="5" t="s">
        <v>650</v>
      </c>
      <c r="B40" s="5" t="s">
        <v>339</v>
      </c>
      <c r="C40" s="5" t="s">
        <v>651</v>
      </c>
      <c r="D40" s="5" t="s">
        <v>998</v>
      </c>
      <c r="E40" s="5" t="s">
        <v>652</v>
      </c>
      <c r="F40" s="5" t="s">
        <v>653</v>
      </c>
      <c r="G40" s="5" t="s">
        <v>341</v>
      </c>
      <c r="H40" s="5" t="s">
        <v>654</v>
      </c>
      <c r="I40" s="5" t="s">
        <v>25</v>
      </c>
    </row>
    <row r="41" spans="1:9" ht="16" x14ac:dyDescent="0.2">
      <c r="A41" s="5" t="s">
        <v>655</v>
      </c>
      <c r="B41" s="5" t="s">
        <v>339</v>
      </c>
      <c r="C41" s="5" t="s">
        <v>656</v>
      </c>
      <c r="D41" s="5" t="s">
        <v>356</v>
      </c>
      <c r="E41" s="5" t="s">
        <v>657</v>
      </c>
      <c r="F41" s="5" t="s">
        <v>658</v>
      </c>
      <c r="G41" s="5" t="s">
        <v>351</v>
      </c>
      <c r="H41" s="5" t="s">
        <v>659</v>
      </c>
      <c r="I41" s="5" t="s">
        <v>25</v>
      </c>
    </row>
    <row r="42" spans="1:9" ht="64" x14ac:dyDescent="0.2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905</v>
      </c>
      <c r="H42" s="5" t="s">
        <v>921</v>
      </c>
      <c r="I42" s="5" t="s">
        <v>13</v>
      </c>
    </row>
    <row r="43" spans="1:9" ht="80" x14ac:dyDescent="0.2">
      <c r="A43" s="5" t="s">
        <v>999</v>
      </c>
      <c r="B43" s="5" t="s">
        <v>916</v>
      </c>
      <c r="C43" s="5" t="s">
        <v>917</v>
      </c>
      <c r="D43" s="5" t="s">
        <v>1000</v>
      </c>
      <c r="E43" s="5" t="s">
        <v>1001</v>
      </c>
      <c r="F43" s="5" t="s">
        <v>1002</v>
      </c>
      <c r="G43" s="5" t="s">
        <v>965</v>
      </c>
      <c r="H43" s="5" t="s">
        <v>1003</v>
      </c>
      <c r="I43" s="5" t="s">
        <v>13</v>
      </c>
    </row>
    <row r="44" spans="1:9" ht="144" x14ac:dyDescent="0.2">
      <c r="A44" s="5" t="s">
        <v>1012</v>
      </c>
      <c r="B44" s="5" t="s">
        <v>916</v>
      </c>
      <c r="C44" s="5" t="s">
        <v>917</v>
      </c>
      <c r="D44" s="5" t="s">
        <v>1009</v>
      </c>
      <c r="E44" s="5" t="s">
        <v>1013</v>
      </c>
      <c r="F44" s="5" t="s">
        <v>1014</v>
      </c>
      <c r="G44" s="5" t="s">
        <v>1004</v>
      </c>
      <c r="H44" s="5" t="s">
        <v>1015</v>
      </c>
      <c r="I44" s="5" t="s">
        <v>13</v>
      </c>
    </row>
    <row r="45" spans="1:9" ht="96" x14ac:dyDescent="0.2">
      <c r="A45" s="5" t="s">
        <v>1018</v>
      </c>
      <c r="B45" s="5" t="s">
        <v>59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57</v>
      </c>
      <c r="H45" s="5" t="s">
        <v>1023</v>
      </c>
      <c r="I45" s="5" t="s">
        <v>13</v>
      </c>
    </row>
    <row r="46" spans="1:9" ht="128" x14ac:dyDescent="0.2">
      <c r="A46" s="5" t="s">
        <v>1032</v>
      </c>
      <c r="B46" s="5" t="s">
        <v>80</v>
      </c>
      <c r="C46" s="5" t="s">
        <v>1033</v>
      </c>
      <c r="D46" s="5" t="s">
        <v>81</v>
      </c>
      <c r="E46" s="5" t="s">
        <v>1034</v>
      </c>
      <c r="F46" s="5" t="s">
        <v>1035</v>
      </c>
      <c r="G46" s="5" t="s">
        <v>75</v>
      </c>
      <c r="H46" s="5" t="s">
        <v>1036</v>
      </c>
      <c r="I46" s="5" t="s">
        <v>13</v>
      </c>
    </row>
    <row r="47" spans="1:9" ht="128" x14ac:dyDescent="0.2">
      <c r="A47" s="5" t="s">
        <v>1037</v>
      </c>
      <c r="B47" s="5" t="s">
        <v>80</v>
      </c>
      <c r="C47" s="5" t="s">
        <v>633</v>
      </c>
      <c r="D47" s="5" t="s">
        <v>86</v>
      </c>
      <c r="E47" s="5" t="s">
        <v>1038</v>
      </c>
      <c r="F47" s="5" t="inlineStr">
        <is>
          <t>Create an ordered PostgreSQL migration that defines reusable audit timestamp behavior for IAMONIT tables. Define a reusable trigger function that sets updated_at to the current timestamp whenever a row is updated. Use timestamptz for created_at and updated_at conventions. Keep the migration compatible with Supabase PostgreSQL and safe to apply through the existing local migration workflow. Do not create tenants, app_users, authentication endpoints, or unrelated tables in this task. Do not apply the migration to the hosted Supabase project automatically.</t>
        </is>
      </c>
      <c r="G47" s="5" t="s">
        <v>82</v>
      </c>
      <c r="H47" s="5" t="inlineStr">
        <is>
          <t>supabase/migrations/001_audit.sql exists; it defines a reusable PostgreSQL updated_at trigger function; audit timestamp conventions use timestamptz; the SQL is valid and safely ordered; the migration applies successfully to the local Supabase database; local verification confirms that a table using the trigger receives a changed updated_at value after an update; no unrelated tables are created; and no hosted-project migration is applied.</t>
        </is>
      </c>
      <c r="I47" s="5" t="s">
        <v>25</v>
      </c>
    </row>
  </sheetData>
  <autoFilter ref="A1:I47" xr:uid="{00000000-0009-0000-0000-000006000000}"/>
  <conditionalFormatting sqref="I2:I47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7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3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660</v>
      </c>
      <c r="B1" s="4" t="s">
        <v>661</v>
      </c>
      <c r="C1" s="4" t="s">
        <v>662</v>
      </c>
      <c r="D1" s="4" t="s">
        <v>663</v>
      </c>
      <c r="E1" s="4" t="s">
        <v>664</v>
      </c>
    </row>
    <row r="2" spans="1:5" ht="32" x14ac:dyDescent="0.2">
      <c r="A2" s="5" t="s">
        <v>64</v>
      </c>
      <c r="B2" s="5" t="s">
        <v>1028</v>
      </c>
      <c r="C2" s="5" t="s">
        <v>1029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972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973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974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975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976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977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978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979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980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981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982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933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983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984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941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942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985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986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987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952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988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989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990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991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992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993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994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995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996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997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948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951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954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101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638</v>
      </c>
      <c r="D37" s="5" t="s">
        <v>184</v>
      </c>
      <c r="E37" s="5" t="s">
        <v>637</v>
      </c>
    </row>
    <row r="38" spans="1:5" ht="16" x14ac:dyDescent="0.2">
      <c r="A38" s="5" t="s">
        <v>80</v>
      </c>
      <c r="B38" s="5" t="s">
        <v>124</v>
      </c>
      <c r="C38" s="5" t="s">
        <v>642</v>
      </c>
      <c r="D38" s="5" t="s">
        <v>117</v>
      </c>
      <c r="E38" s="5" t="s">
        <v>641</v>
      </c>
    </row>
    <row r="39" spans="1:5" ht="16" x14ac:dyDescent="0.2">
      <c r="A39" s="5" t="s">
        <v>80</v>
      </c>
      <c r="B39" s="5" t="s">
        <v>646</v>
      </c>
      <c r="C39" s="5" t="s">
        <v>647</v>
      </c>
      <c r="D39" s="5" t="s">
        <v>234</v>
      </c>
      <c r="E39" s="5" t="s">
        <v>645</v>
      </c>
    </row>
    <row r="40" spans="1:5" ht="16" x14ac:dyDescent="0.2">
      <c r="A40" s="5" t="s">
        <v>339</v>
      </c>
      <c r="B40" s="5" t="s">
        <v>998</v>
      </c>
      <c r="C40" s="5" t="s">
        <v>652</v>
      </c>
      <c r="D40" s="5" t="s">
        <v>341</v>
      </c>
      <c r="E40" s="5" t="s">
        <v>650</v>
      </c>
    </row>
    <row r="41" spans="1:5" ht="16" x14ac:dyDescent="0.2">
      <c r="A41" s="5" t="s">
        <v>339</v>
      </c>
      <c r="B41" s="5" t="s">
        <v>356</v>
      </c>
      <c r="C41" s="5" t="s">
        <v>657</v>
      </c>
      <c r="D41" s="5" t="s">
        <v>351</v>
      </c>
      <c r="E41" s="5" t="s">
        <v>655</v>
      </c>
    </row>
    <row r="42" spans="1:5" ht="16" x14ac:dyDescent="0.2">
      <c r="A42" s="5" t="s">
        <v>80</v>
      </c>
      <c r="B42" s="5" t="s">
        <v>81</v>
      </c>
      <c r="C42" s="5" t="s">
        <v>1034</v>
      </c>
      <c r="D42" s="5" t="s">
        <v>75</v>
      </c>
      <c r="E42" s="5" t="s">
        <v>1032</v>
      </c>
    </row>
    <row r="43" spans="1:5" ht="16" x14ac:dyDescent="0.2">
      <c r="A43" s="5" t="s">
        <v>80</v>
      </c>
      <c r="B43" s="5" t="s">
        <v>86</v>
      </c>
      <c r="C43" s="5" t="s">
        <v>1038</v>
      </c>
      <c r="D43" s="5" t="s">
        <v>82</v>
      </c>
      <c r="E43" s="5" t="s">
        <v>1037</v>
      </c>
    </row>
  </sheetData>
  <autoFilter ref="A1:E43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665</v>
      </c>
      <c r="B1" s="4" t="s">
        <v>666</v>
      </c>
      <c r="C1" s="4" t="s">
        <v>662</v>
      </c>
      <c r="D1" s="4" t="s">
        <v>667</v>
      </c>
      <c r="E1" s="4" t="s">
        <v>668</v>
      </c>
      <c r="F1" s="4" t="s">
        <v>669</v>
      </c>
      <c r="G1" s="4" t="s">
        <v>670</v>
      </c>
    </row>
    <row r="2" spans="1:7" ht="32" x14ac:dyDescent="0.2">
      <c r="A2" s="5" t="s">
        <v>671</v>
      </c>
      <c r="B2" s="5" t="s">
        <v>672</v>
      </c>
      <c r="C2" s="5" t="s">
        <v>673</v>
      </c>
      <c r="D2" s="5" t="s">
        <v>674</v>
      </c>
      <c r="E2" s="5" t="s">
        <v>675</v>
      </c>
      <c r="F2" s="5" t="s">
        <v>676</v>
      </c>
      <c r="G2" s="5" t="s">
        <v>677</v>
      </c>
    </row>
    <row r="3" spans="1:7" ht="16" x14ac:dyDescent="0.2">
      <c r="A3" s="5" t="s">
        <v>671</v>
      </c>
      <c r="B3" s="5" t="s">
        <v>678</v>
      </c>
      <c r="C3" s="5" t="s">
        <v>679</v>
      </c>
      <c r="D3" s="5" t="s">
        <v>674</v>
      </c>
      <c r="E3" s="5" t="s">
        <v>680</v>
      </c>
      <c r="F3" s="5" t="s">
        <v>676</v>
      </c>
      <c r="G3" s="5" t="s">
        <v>681</v>
      </c>
    </row>
    <row r="4" spans="1:7" ht="16" x14ac:dyDescent="0.2">
      <c r="A4" s="5" t="s">
        <v>682</v>
      </c>
      <c r="B4" s="5" t="s">
        <v>683</v>
      </c>
      <c r="C4" s="5" t="s">
        <v>684</v>
      </c>
      <c r="D4" s="5" t="s">
        <v>685</v>
      </c>
      <c r="E4" s="5" t="s">
        <v>686</v>
      </c>
      <c r="F4" s="5" t="s">
        <v>687</v>
      </c>
      <c r="G4" s="5" t="s">
        <v>688</v>
      </c>
    </row>
    <row r="5" spans="1:7" ht="16" x14ac:dyDescent="0.2">
      <c r="A5" s="5" t="s">
        <v>671</v>
      </c>
      <c r="B5" s="5" t="s">
        <v>689</v>
      </c>
      <c r="C5" s="5" t="s">
        <v>690</v>
      </c>
      <c r="D5" s="5" t="s">
        <v>685</v>
      </c>
      <c r="E5" s="5" t="s">
        <v>691</v>
      </c>
      <c r="F5" s="5" t="s">
        <v>692</v>
      </c>
      <c r="G5" s="5" t="s">
        <v>152</v>
      </c>
    </row>
    <row r="6" spans="1:7" ht="16" x14ac:dyDescent="0.2">
      <c r="A6" s="5" t="s">
        <v>671</v>
      </c>
      <c r="B6" s="5" t="s">
        <v>693</v>
      </c>
      <c r="C6" s="5" t="s">
        <v>694</v>
      </c>
      <c r="D6" s="5" t="s">
        <v>695</v>
      </c>
      <c r="E6" s="5" t="s">
        <v>696</v>
      </c>
      <c r="F6" s="5" t="s">
        <v>697</v>
      </c>
      <c r="G6" s="5" t="s">
        <v>157</v>
      </c>
    </row>
    <row r="7" spans="1:7" ht="16" x14ac:dyDescent="0.2">
      <c r="A7" s="5" t="s">
        <v>682</v>
      </c>
      <c r="B7" s="5" t="s">
        <v>698</v>
      </c>
      <c r="C7" s="5" t="s">
        <v>699</v>
      </c>
      <c r="D7" s="5" t="s">
        <v>700</v>
      </c>
      <c r="E7" s="5" t="s">
        <v>701</v>
      </c>
      <c r="F7" s="5" t="s">
        <v>702</v>
      </c>
      <c r="G7" s="5" t="s">
        <v>703</v>
      </c>
    </row>
    <row r="8" spans="1:7" ht="16" x14ac:dyDescent="0.2">
      <c r="A8" s="5" t="s">
        <v>671</v>
      </c>
      <c r="B8" s="5" t="s">
        <v>698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</row>
    <row r="9" spans="1:7" ht="16" x14ac:dyDescent="0.2">
      <c r="A9" s="5" t="s">
        <v>682</v>
      </c>
      <c r="B9" s="5" t="s">
        <v>709</v>
      </c>
      <c r="C9" s="5" t="s">
        <v>710</v>
      </c>
      <c r="D9" s="5" t="s">
        <v>711</v>
      </c>
      <c r="E9" s="5" t="s">
        <v>712</v>
      </c>
      <c r="F9" s="5" t="s">
        <v>713</v>
      </c>
      <c r="G9" s="5" t="s">
        <v>714</v>
      </c>
    </row>
    <row r="10" spans="1:7" ht="16" x14ac:dyDescent="0.2">
      <c r="A10" s="5" t="s">
        <v>715</v>
      </c>
      <c r="B10" s="5" t="s">
        <v>716</v>
      </c>
      <c r="C10" s="5" t="s">
        <v>717</v>
      </c>
      <c r="D10" s="5" t="s">
        <v>718</v>
      </c>
      <c r="E10" s="5" t="s">
        <v>719</v>
      </c>
      <c r="F10" s="5" t="s">
        <v>720</v>
      </c>
      <c r="G10" s="5" t="s">
        <v>721</v>
      </c>
    </row>
    <row r="11" spans="1:7" ht="16" x14ac:dyDescent="0.2">
      <c r="A11" s="5" t="s">
        <v>671</v>
      </c>
      <c r="B11" s="5" t="s">
        <v>722</v>
      </c>
      <c r="C11" s="5" t="s">
        <v>723</v>
      </c>
      <c r="D11" s="5" t="s">
        <v>724</v>
      </c>
      <c r="E11" s="5" t="s">
        <v>725</v>
      </c>
      <c r="F11" s="5" t="s">
        <v>726</v>
      </c>
      <c r="G11" s="5" t="s">
        <v>727</v>
      </c>
    </row>
    <row r="12" spans="1:7" ht="16" x14ac:dyDescent="0.2">
      <c r="A12" s="5" t="s">
        <v>671</v>
      </c>
      <c r="B12" s="5" t="s">
        <v>728</v>
      </c>
      <c r="C12" s="5" t="s">
        <v>729</v>
      </c>
      <c r="D12" s="5" t="s">
        <v>711</v>
      </c>
      <c r="E12" s="5" t="s">
        <v>730</v>
      </c>
      <c r="F12" s="5" t="s">
        <v>731</v>
      </c>
      <c r="G12" s="5" t="s">
        <v>732</v>
      </c>
    </row>
    <row r="13" spans="1:7" ht="16" x14ac:dyDescent="0.2">
      <c r="A13" s="5" t="s">
        <v>682</v>
      </c>
      <c r="B13" s="5" t="s">
        <v>733</v>
      </c>
      <c r="C13" s="5" t="s">
        <v>734</v>
      </c>
      <c r="D13" s="5" t="s">
        <v>724</v>
      </c>
      <c r="E13" s="5" t="s">
        <v>735</v>
      </c>
      <c r="F13" s="5" t="s">
        <v>736</v>
      </c>
      <c r="G13" s="5" t="s">
        <v>737</v>
      </c>
    </row>
    <row r="14" spans="1:7" ht="16" x14ac:dyDescent="0.2">
      <c r="A14" s="5" t="s">
        <v>715</v>
      </c>
      <c r="B14" s="5" t="s">
        <v>738</v>
      </c>
      <c r="C14" s="5" t="s">
        <v>739</v>
      </c>
      <c r="D14" s="5" t="s">
        <v>724</v>
      </c>
      <c r="E14" s="5" t="s">
        <v>740</v>
      </c>
      <c r="F14" s="5" t="s">
        <v>741</v>
      </c>
      <c r="G14" s="5" t="s">
        <v>737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742</v>
      </c>
      <c r="B1" s="4" t="s">
        <v>662</v>
      </c>
      <c r="C1" s="4" t="s">
        <v>743</v>
      </c>
      <c r="D1" s="4" t="s">
        <v>744</v>
      </c>
      <c r="E1" s="4" t="s">
        <v>745</v>
      </c>
      <c r="F1" s="4" t="s">
        <v>670</v>
      </c>
    </row>
    <row r="2" spans="1:6" ht="32" x14ac:dyDescent="0.2">
      <c r="A2" s="5" t="s">
        <v>521</v>
      </c>
      <c r="B2" s="5" t="s">
        <v>746</v>
      </c>
      <c r="C2" s="5" t="s">
        <v>747</v>
      </c>
      <c r="D2" s="5" t="s">
        <v>748</v>
      </c>
      <c r="E2" s="5" t="s">
        <v>749</v>
      </c>
      <c r="F2" s="5" t="s">
        <v>750</v>
      </c>
    </row>
    <row r="3" spans="1:6" ht="32" x14ac:dyDescent="0.2">
      <c r="A3" s="5" t="s">
        <v>751</v>
      </c>
      <c r="B3" s="5" t="s">
        <v>752</v>
      </c>
      <c r="C3" s="5" t="s">
        <v>753</v>
      </c>
      <c r="D3" s="5" t="s">
        <v>754</v>
      </c>
      <c r="E3" s="5" t="s">
        <v>749</v>
      </c>
      <c r="F3" s="5" t="s">
        <v>755</v>
      </c>
    </row>
    <row r="4" spans="1:6" ht="32" x14ac:dyDescent="0.2">
      <c r="A4" s="5" t="s">
        <v>756</v>
      </c>
      <c r="B4" s="5" t="s">
        <v>757</v>
      </c>
      <c r="C4" s="5" t="s">
        <v>758</v>
      </c>
      <c r="D4" s="5" t="s">
        <v>759</v>
      </c>
      <c r="E4" s="5" t="s">
        <v>749</v>
      </c>
      <c r="F4" s="5" t="s">
        <v>760</v>
      </c>
    </row>
    <row r="5" spans="1:6" ht="32" x14ac:dyDescent="0.2">
      <c r="A5" s="5" t="s">
        <v>761</v>
      </c>
      <c r="B5" s="5" t="s">
        <v>762</v>
      </c>
      <c r="C5" s="5" t="s">
        <v>763</v>
      </c>
      <c r="D5" s="5" t="s">
        <v>759</v>
      </c>
      <c r="E5" s="5" t="s">
        <v>749</v>
      </c>
      <c r="F5" s="5" t="s">
        <v>112</v>
      </c>
    </row>
    <row r="6" spans="1:6" ht="32" x14ac:dyDescent="0.2">
      <c r="A6" s="5" t="s">
        <v>535</v>
      </c>
      <c r="B6" s="5" t="s">
        <v>764</v>
      </c>
      <c r="C6" s="5" t="s">
        <v>765</v>
      </c>
      <c r="D6" s="5" t="s">
        <v>766</v>
      </c>
      <c r="E6" s="5" t="s">
        <v>749</v>
      </c>
      <c r="F6" s="5" t="s">
        <v>767</v>
      </c>
    </row>
    <row r="7" spans="1:6" ht="32" x14ac:dyDescent="0.2">
      <c r="A7" s="5" t="s">
        <v>545</v>
      </c>
      <c r="B7" s="5" t="s">
        <v>768</v>
      </c>
      <c r="C7" s="5" t="s">
        <v>769</v>
      </c>
      <c r="D7" s="5" t="s">
        <v>770</v>
      </c>
      <c r="E7" s="5" t="s">
        <v>749</v>
      </c>
      <c r="F7" s="5" t="s">
        <v>771</v>
      </c>
    </row>
    <row r="8" spans="1:6" ht="16" x14ac:dyDescent="0.2">
      <c r="A8" s="5" t="s">
        <v>772</v>
      </c>
      <c r="B8" s="5" t="s">
        <v>773</v>
      </c>
      <c r="C8" s="5" t="s">
        <v>774</v>
      </c>
      <c r="D8" s="5" t="s">
        <v>775</v>
      </c>
      <c r="E8" s="5" t="s">
        <v>776</v>
      </c>
      <c r="F8" s="5" t="s">
        <v>777</v>
      </c>
    </row>
    <row r="9" spans="1:6" ht="32" x14ac:dyDescent="0.2">
      <c r="A9" s="5" t="s">
        <v>778</v>
      </c>
      <c r="B9" s="5" t="s">
        <v>779</v>
      </c>
      <c r="C9" s="5" t="s">
        <v>780</v>
      </c>
      <c r="D9" s="5" t="s">
        <v>781</v>
      </c>
      <c r="E9" s="5" t="s">
        <v>749</v>
      </c>
      <c r="F9" s="5" t="s">
        <v>246</v>
      </c>
    </row>
    <row r="10" spans="1:6" ht="32" x14ac:dyDescent="0.2">
      <c r="A10" s="5" t="s">
        <v>782</v>
      </c>
      <c r="B10" s="5" t="s">
        <v>783</v>
      </c>
      <c r="C10" s="5" t="s">
        <v>784</v>
      </c>
      <c r="D10" s="5" t="s">
        <v>785</v>
      </c>
      <c r="E10" s="5" t="s">
        <v>749</v>
      </c>
      <c r="F10" s="5" t="s">
        <v>786</v>
      </c>
    </row>
    <row r="11" spans="1:6" ht="16" x14ac:dyDescent="0.2">
      <c r="A11" s="5" t="s">
        <v>577</v>
      </c>
      <c r="B11" s="5" t="s">
        <v>787</v>
      </c>
      <c r="C11" s="5" t="s">
        <v>788</v>
      </c>
      <c r="D11" s="5" t="s">
        <v>789</v>
      </c>
      <c r="E11" s="5" t="s">
        <v>790</v>
      </c>
      <c r="F11" s="5" t="s">
        <v>791</v>
      </c>
    </row>
    <row r="12" spans="1:6" ht="16" x14ac:dyDescent="0.2">
      <c r="A12" s="5" t="s">
        <v>792</v>
      </c>
      <c r="B12" s="5" t="s">
        <v>793</v>
      </c>
      <c r="C12" s="5" t="s">
        <v>794</v>
      </c>
      <c r="D12" s="5" t="s">
        <v>795</v>
      </c>
      <c r="E12" s="5" t="s">
        <v>776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796</v>
      </c>
      <c r="B1" s="4" t="s">
        <v>797</v>
      </c>
      <c r="C1" s="4" t="s">
        <v>798</v>
      </c>
      <c r="D1" s="4" t="s">
        <v>799</v>
      </c>
      <c r="E1" s="4" t="s">
        <v>662</v>
      </c>
      <c r="F1" s="4" t="s">
        <v>800</v>
      </c>
      <c r="G1" s="4" t="s">
        <v>670</v>
      </c>
      <c r="H1" s="4" t="s">
        <v>22</v>
      </c>
    </row>
    <row r="2" spans="1:8" ht="16" x14ac:dyDescent="0.2">
      <c r="A2" s="5" t="s">
        <v>801</v>
      </c>
      <c r="B2" s="5" t="s">
        <v>802</v>
      </c>
      <c r="C2" s="5" t="s">
        <v>803</v>
      </c>
      <c r="D2" s="5" t="s">
        <v>804</v>
      </c>
      <c r="E2" s="5" t="s">
        <v>805</v>
      </c>
      <c r="F2" s="5" t="s">
        <v>806</v>
      </c>
      <c r="G2" s="5" t="s">
        <v>583</v>
      </c>
      <c r="H2" s="5" t="s">
        <v>25</v>
      </c>
    </row>
    <row r="3" spans="1:8" ht="16" x14ac:dyDescent="0.2">
      <c r="A3" s="5" t="s">
        <v>807</v>
      </c>
      <c r="B3" s="5" t="s">
        <v>808</v>
      </c>
      <c r="C3" s="5" t="s">
        <v>809</v>
      </c>
      <c r="D3" s="5" t="s">
        <v>804</v>
      </c>
      <c r="E3" s="5" t="s">
        <v>810</v>
      </c>
      <c r="F3" s="5" t="s">
        <v>811</v>
      </c>
      <c r="G3" s="5" t="s">
        <v>583</v>
      </c>
      <c r="H3" s="5" t="s">
        <v>25</v>
      </c>
    </row>
    <row r="4" spans="1:8" ht="16" x14ac:dyDescent="0.2">
      <c r="A4" s="5" t="s">
        <v>812</v>
      </c>
      <c r="B4" s="5" t="s">
        <v>297</v>
      </c>
      <c r="C4" s="5" t="s">
        <v>813</v>
      </c>
      <c r="D4" s="5" t="s">
        <v>814</v>
      </c>
      <c r="E4" s="5" t="s">
        <v>815</v>
      </c>
      <c r="F4" s="5" t="s">
        <v>816</v>
      </c>
      <c r="G4" s="5" t="s">
        <v>296</v>
      </c>
      <c r="H4" s="5" t="s">
        <v>25</v>
      </c>
    </row>
    <row r="5" spans="1:8" ht="16" x14ac:dyDescent="0.2">
      <c r="A5" s="5" t="s">
        <v>817</v>
      </c>
      <c r="B5" s="5" t="s">
        <v>818</v>
      </c>
      <c r="C5" s="5" t="s">
        <v>819</v>
      </c>
      <c r="D5" s="5" t="s">
        <v>820</v>
      </c>
      <c r="E5" s="5" t="s">
        <v>821</v>
      </c>
      <c r="F5" s="5" t="s">
        <v>822</v>
      </c>
      <c r="G5" s="5" t="s">
        <v>302</v>
      </c>
      <c r="H5" s="5" t="s">
        <v>25</v>
      </c>
    </row>
    <row r="6" spans="1:8" ht="16" x14ac:dyDescent="0.2">
      <c r="A6" s="5" t="s">
        <v>823</v>
      </c>
      <c r="B6" s="5" t="s">
        <v>824</v>
      </c>
      <c r="C6" s="5" t="s">
        <v>698</v>
      </c>
      <c r="D6" s="5" t="s">
        <v>814</v>
      </c>
      <c r="E6" s="5" t="s">
        <v>825</v>
      </c>
      <c r="F6" s="5" t="s">
        <v>826</v>
      </c>
      <c r="G6" s="5" t="s">
        <v>607</v>
      </c>
      <c r="H6" s="5" t="s">
        <v>25</v>
      </c>
    </row>
    <row r="7" spans="1:8" ht="16" x14ac:dyDescent="0.2">
      <c r="A7" s="5" t="s">
        <v>827</v>
      </c>
      <c r="B7" s="5" t="s">
        <v>828</v>
      </c>
      <c r="C7" s="5" t="s">
        <v>829</v>
      </c>
      <c r="D7" s="5" t="s">
        <v>814</v>
      </c>
      <c r="E7" s="5" t="s">
        <v>830</v>
      </c>
      <c r="F7" s="5" t="s">
        <v>831</v>
      </c>
      <c r="G7" s="5" t="s">
        <v>832</v>
      </c>
      <c r="H7" s="5" t="s">
        <v>25</v>
      </c>
    </row>
    <row r="8" spans="1:8" ht="16" x14ac:dyDescent="0.2">
      <c r="A8" s="5" t="s">
        <v>833</v>
      </c>
      <c r="B8" s="5" t="s">
        <v>834</v>
      </c>
      <c r="C8" s="5" t="s">
        <v>835</v>
      </c>
      <c r="D8" s="5" t="s">
        <v>836</v>
      </c>
      <c r="E8" s="5" t="s">
        <v>837</v>
      </c>
      <c r="F8" s="5" t="s">
        <v>838</v>
      </c>
      <c r="G8" s="5" t="s">
        <v>839</v>
      </c>
      <c r="H8" s="5" t="s">
        <v>25</v>
      </c>
    </row>
    <row r="9" spans="1:8" ht="16" x14ac:dyDescent="0.2">
      <c r="A9" s="5" t="s">
        <v>840</v>
      </c>
      <c r="B9" s="5" t="s">
        <v>841</v>
      </c>
      <c r="C9" s="5" t="s">
        <v>842</v>
      </c>
      <c r="D9" s="5" t="s">
        <v>820</v>
      </c>
      <c r="E9" s="5" t="s">
        <v>843</v>
      </c>
      <c r="F9" s="5" t="s">
        <v>844</v>
      </c>
      <c r="G9" s="5" t="s">
        <v>271</v>
      </c>
      <c r="H9" s="5" t="s">
        <v>25</v>
      </c>
    </row>
    <row r="10" spans="1:8" ht="16" x14ac:dyDescent="0.2">
      <c r="A10" s="5" t="s">
        <v>845</v>
      </c>
      <c r="B10" s="5" t="s">
        <v>846</v>
      </c>
      <c r="C10" s="5" t="s">
        <v>683</v>
      </c>
      <c r="D10" s="5" t="s">
        <v>685</v>
      </c>
      <c r="E10" s="5" t="s">
        <v>847</v>
      </c>
      <c r="F10" s="5" t="s">
        <v>848</v>
      </c>
      <c r="G10" s="5" t="s">
        <v>166</v>
      </c>
      <c r="H10" s="5" t="s">
        <v>25</v>
      </c>
    </row>
    <row r="11" spans="1:8" ht="16" x14ac:dyDescent="0.2">
      <c r="A11" s="5" t="s">
        <v>849</v>
      </c>
      <c r="B11" s="5" t="s">
        <v>850</v>
      </c>
      <c r="C11" s="5" t="s">
        <v>851</v>
      </c>
      <c r="D11" s="5" t="s">
        <v>685</v>
      </c>
      <c r="E11" s="5" t="s">
        <v>852</v>
      </c>
      <c r="F11" s="5" t="s">
        <v>853</v>
      </c>
      <c r="G11" s="5" t="s">
        <v>177</v>
      </c>
      <c r="H11" s="5" t="s">
        <v>25</v>
      </c>
    </row>
    <row r="12" spans="1:8" ht="16" x14ac:dyDescent="0.2">
      <c r="A12" s="5" t="s">
        <v>854</v>
      </c>
      <c r="B12" s="5" t="s">
        <v>855</v>
      </c>
      <c r="C12" s="5" t="s">
        <v>856</v>
      </c>
      <c r="D12" s="5" t="s">
        <v>804</v>
      </c>
      <c r="E12" s="5" t="s">
        <v>857</v>
      </c>
      <c r="F12" s="5" t="s">
        <v>858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859</v>
      </c>
      <c r="B1" s="4" t="s">
        <v>860</v>
      </c>
      <c r="C1" s="4" t="s">
        <v>861</v>
      </c>
      <c r="D1" s="4" t="s">
        <v>862</v>
      </c>
      <c r="E1" s="4" t="s">
        <v>863</v>
      </c>
      <c r="F1" s="4" t="s">
        <v>426</v>
      </c>
      <c r="G1" s="4" t="s">
        <v>22</v>
      </c>
    </row>
    <row r="2" spans="1:7" ht="16" x14ac:dyDescent="0.2">
      <c r="A2" s="5" t="s">
        <v>864</v>
      </c>
      <c r="B2" s="5" t="s">
        <v>865</v>
      </c>
      <c r="C2" s="5" t="s">
        <v>866</v>
      </c>
      <c r="D2" s="5" t="s">
        <v>52</v>
      </c>
      <c r="E2" s="5" t="s">
        <v>867</v>
      </c>
      <c r="F2" s="5" t="s">
        <v>122</v>
      </c>
      <c r="G2" s="5" t="s">
        <v>868</v>
      </c>
    </row>
    <row r="3" spans="1:7" ht="32" x14ac:dyDescent="0.2">
      <c r="A3" s="5" t="s">
        <v>869</v>
      </c>
      <c r="B3" s="5" t="s">
        <v>865</v>
      </c>
      <c r="C3" s="5" t="s">
        <v>870</v>
      </c>
      <c r="D3" s="5" t="s">
        <v>67</v>
      </c>
      <c r="E3" s="5" t="s">
        <v>871</v>
      </c>
      <c r="F3" s="5" t="s">
        <v>64</v>
      </c>
      <c r="G3" s="5" t="s">
        <v>868</v>
      </c>
    </row>
    <row r="4" spans="1:7" ht="32" x14ac:dyDescent="0.2">
      <c r="A4" s="5" t="s">
        <v>872</v>
      </c>
      <c r="B4" s="5" t="s">
        <v>865</v>
      </c>
      <c r="C4" s="5" t="s">
        <v>873</v>
      </c>
      <c r="D4" s="5" t="s">
        <v>168</v>
      </c>
      <c r="E4" s="5" t="s">
        <v>874</v>
      </c>
      <c r="F4" s="5" t="s">
        <v>390</v>
      </c>
      <c r="G4" s="5" t="s">
        <v>868</v>
      </c>
    </row>
    <row r="5" spans="1:7" ht="16" x14ac:dyDescent="0.2">
      <c r="A5" s="5" t="s">
        <v>875</v>
      </c>
      <c r="B5" s="5" t="s">
        <v>865</v>
      </c>
      <c r="C5" s="5" t="s">
        <v>876</v>
      </c>
      <c r="D5" s="5" t="s">
        <v>67</v>
      </c>
      <c r="E5" s="5" t="s">
        <v>877</v>
      </c>
      <c r="F5" s="5" t="s">
        <v>390</v>
      </c>
      <c r="G5" s="5" t="s">
        <v>868</v>
      </c>
    </row>
    <row r="6" spans="1:7" ht="16" x14ac:dyDescent="0.2">
      <c r="A6" s="5" t="s">
        <v>878</v>
      </c>
      <c r="B6" s="5" t="s">
        <v>879</v>
      </c>
      <c r="C6" s="5" t="s">
        <v>880</v>
      </c>
      <c r="D6" s="5" t="s">
        <v>67</v>
      </c>
      <c r="E6" s="5" t="s">
        <v>881</v>
      </c>
      <c r="F6" s="5" t="s">
        <v>882</v>
      </c>
      <c r="G6" s="5" t="s">
        <v>883</v>
      </c>
    </row>
    <row r="7" spans="1:7" ht="16" x14ac:dyDescent="0.2">
      <c r="A7" s="5" t="s">
        <v>884</v>
      </c>
      <c r="B7" s="5" t="s">
        <v>879</v>
      </c>
      <c r="C7" s="5" t="s">
        <v>885</v>
      </c>
      <c r="D7" s="5" t="s">
        <v>67</v>
      </c>
      <c r="E7" s="5" t="s">
        <v>886</v>
      </c>
      <c r="F7" s="5" t="s">
        <v>80</v>
      </c>
      <c r="G7" s="5" t="s">
        <v>883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660</v>
      </c>
      <c r="B1" s="4" t="s">
        <v>887</v>
      </c>
      <c r="C1" s="4" t="s">
        <v>888</v>
      </c>
      <c r="D1" s="4" t="s">
        <v>426</v>
      </c>
      <c r="E1" s="4" t="s">
        <v>22</v>
      </c>
      <c r="F1" s="4" t="s">
        <v>889</v>
      </c>
    </row>
    <row r="2" spans="1:6" ht="16" x14ac:dyDescent="0.2">
      <c r="A2" s="5" t="s">
        <v>122</v>
      </c>
      <c r="B2" s="5" t="s">
        <v>890</v>
      </c>
      <c r="C2" s="5" t="s">
        <v>891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892</v>
      </c>
      <c r="C3" s="5" t="s">
        <v>891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893</v>
      </c>
      <c r="C4" s="5" t="s">
        <v>891</v>
      </c>
      <c r="D4" s="5" t="s">
        <v>182</v>
      </c>
      <c r="E4" s="5" t="s">
        <v>25</v>
      </c>
      <c r="F4" s="5"/>
    </row>
    <row r="5" spans="1:6" ht="16" x14ac:dyDescent="0.2">
      <c r="A5" s="5" t="s">
        <v>894</v>
      </c>
      <c r="B5" s="5" t="s">
        <v>895</v>
      </c>
      <c r="C5" s="5" t="s">
        <v>891</v>
      </c>
      <c r="D5" s="5" t="s">
        <v>59</v>
      </c>
      <c r="E5" s="5" t="s">
        <v>25</v>
      </c>
      <c r="F5" s="5"/>
    </row>
    <row r="6" spans="1:6" ht="16" x14ac:dyDescent="0.2">
      <c r="A6" s="5" t="s">
        <v>896</v>
      </c>
      <c r="B6" s="5" t="s">
        <v>897</v>
      </c>
      <c r="C6" s="5" t="s">
        <v>891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898</v>
      </c>
      <c r="C7" s="5" t="s">
        <v>899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900</v>
      </c>
      <c r="C8" s="5" t="s">
        <v>891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901</v>
      </c>
      <c r="C9" s="5" t="s">
        <v>891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902</v>
      </c>
      <c r="C10" s="5" t="s">
        <v>891</v>
      </c>
      <c r="D10" s="5" t="s">
        <v>55</v>
      </c>
      <c r="E10" s="5" t="s">
        <v>25</v>
      </c>
      <c r="F10" s="5"/>
    </row>
    <row r="11" spans="1:6" ht="16" x14ac:dyDescent="0.2">
      <c r="A11" s="5" t="s">
        <v>903</v>
      </c>
      <c r="B11" s="5" t="s">
        <v>904</v>
      </c>
      <c r="C11" s="5" t="s">
        <v>899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2026-08-04T16:10:06Z</dcterms:modified>
</cp:coreProperties>
</file>