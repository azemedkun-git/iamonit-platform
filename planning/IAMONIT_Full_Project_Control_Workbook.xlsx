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mc:AlternateContent xmlns:mc="http://schemas.openxmlformats.org/markup-compatibility/2006">
    <mc:Choice Requires="x15">
      <x15ac:absPath xmlns:x15ac="http://schemas.microsoft.com/office/spreadsheetml/2010/11/ac" url="/Users/andu_zed/Desktop/IAMONIT/iamonit-platform/planning/"/>
    </mc:Choice>
  </mc:AlternateContent>
  <xr:revisionPtr revIDLastSave="0" documentId="13_ncr:1_{A36D3FCF-31B5-2542-9119-558448E42844}" xr6:coauthVersionLast="47" xr6:coauthVersionMax="47" xr10:uidLastSave="{00000000-0000-0000-0000-000000000000}"/>
  <bookViews>
    <workbookView xWindow="0" yWindow="660" windowWidth="34560" windowHeight="20060" activeTab="3" xr2:uid="{00000000-000D-0000-FFFF-FFFF00000000}"/>
  </bookViews>
  <sheets>
    <sheet name="Start Here" sheetId="1" r:id="rId1"/>
    <sheet name="Dashboard" sheetId="2" r:id="rId2"/>
    <sheet name="Backlog" sheetId="3" r:id="rId3"/>
    <sheet name="Sprint Board" sheetId="4" r:id="rId4"/>
    <sheet name="Timeline + Gantt" sheetId="5" r:id="rId5"/>
    <sheet name="Dependencies" sheetId="6" r:id="rId6"/>
    <sheet name="IntelliJ Coding Tasks" sheetId="7" r:id="rId7"/>
    <sheet name="File-Class Map" sheetId="8" r:id="rId8"/>
    <sheet name="API Contracts" sheetId="9" r:id="rId9"/>
    <sheet name="DB Schema + RLS" sheetId="10" r:id="rId10"/>
    <sheet name="UI Screens" sheetId="11" r:id="rId11"/>
    <sheet name="Risks &amp; Decisions" sheetId="12" r:id="rId12"/>
    <sheet name="Release Checklist" sheetId="13" r:id="rId13"/>
  </sheets>
  <definedNames>
    <definedName name="_xlnm._FilterDatabase" localSheetId="8" hidden="1">'API Contracts'!$A$1:$G$14</definedName>
    <definedName name="_xlnm._FilterDatabase" localSheetId="2" hidden="1">Backlog!$A$1:$P$74</definedName>
    <definedName name="_xlnm._FilterDatabase" localSheetId="9" hidden="1">'DB Schema + RLS'!$A$1:$F$12</definedName>
    <definedName name="_xlnm._FilterDatabase" localSheetId="5" hidden="1">Dependencies!$A$1:$F$71</definedName>
    <definedName name="_xlnm._FilterDatabase" localSheetId="7" hidden="1">'File-Class Map'!$A$1:$E$46</definedName>
    <definedName name="_xlnm._FilterDatabase" localSheetId="6" hidden="1">'IntelliJ Coding Tasks'!$A$1:$I$50</definedName>
    <definedName name="_xlnm._FilterDatabase" localSheetId="12" hidden="1">'Release Checklist'!$A$1:$F$11</definedName>
    <definedName name="_xlnm._FilterDatabase" localSheetId="11" hidden="1">'Risks &amp; Decisions'!$A$1:$G$7</definedName>
    <definedName name="_xlnm._FilterDatabase" localSheetId="3" hidden="1">'Sprint Board'!$A$1:$J$74</definedName>
    <definedName name="_xlnm._FilterDatabase" localSheetId="4" hidden="1">'Timeline + Gantt'!$A$1:$AX$71</definedName>
    <definedName name="_xlnm._FilterDatabase" localSheetId="10" hidden="1">'UI Screens'!$A$1:$H$12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71" i="6" l="1"/>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F12" i="6"/>
  <c r="F11" i="6"/>
  <c r="F10" i="6"/>
  <c r="F9" i="6"/>
  <c r="F8" i="6"/>
  <c r="F7" i="6"/>
  <c r="F6" i="6"/>
  <c r="F5" i="6"/>
  <c r="E20" i="2"/>
  <c r="D20" i="2"/>
  <c r="C20" i="2"/>
  <c r="B20" i="2"/>
  <c r="E19" i="2"/>
  <c r="D19" i="2"/>
  <c r="C19" i="2"/>
  <c r="B19" i="2"/>
  <c r="E18" i="2"/>
  <c r="D18" i="2"/>
  <c r="C18" i="2"/>
  <c r="B18" i="2"/>
  <c r="E17" i="2"/>
  <c r="D17" i="2"/>
  <c r="C17" i="2"/>
  <c r="F17" i="2" s="1"/>
  <c r="B17" i="2"/>
  <c r="I16" i="2"/>
  <c r="E16" i="2"/>
  <c r="D16" i="2"/>
  <c r="C16" i="2"/>
  <c r="B16" i="2"/>
  <c r="I15" i="2"/>
  <c r="E15" i="2"/>
  <c r="D15" i="2"/>
  <c r="C15" i="2"/>
  <c r="B15" i="2"/>
  <c r="I14" i="2"/>
  <c r="E14" i="2"/>
  <c r="D14" i="2"/>
  <c r="C14" i="2"/>
  <c r="B14" i="2"/>
  <c r="I13" i="2"/>
  <c r="E13" i="2"/>
  <c r="D13" i="2"/>
  <c r="C13" i="2"/>
  <c r="B13" i="2"/>
  <c r="I12" i="2"/>
  <c r="E12" i="2"/>
  <c r="D12" i="2"/>
  <c r="C12" i="2"/>
  <c r="B12" i="2"/>
  <c r="G8" i="2"/>
  <c r="D8" i="2"/>
  <c r="A8" i="2"/>
  <c r="G5" i="2"/>
  <c r="D5" i="2"/>
  <c r="A5" i="2"/>
  <c r="F16" i="2" l="1"/>
  <c r="F15" i="2"/>
  <c r="F12" i="2"/>
  <c r="F18" i="2"/>
  <c r="F13" i="2"/>
  <c r="F19" i="2"/>
  <c r="F14" i="2"/>
  <c r="F20" i="2"/>
</calcChain>
</file>

<file path=xl/sharedStrings.xml><?xml version="1.0" encoding="utf-8"?>
<sst xmlns="http://schemas.openxmlformats.org/spreadsheetml/2006/main" count="3404" uniqueCount="1056">
  <si>
    <t>IAMONIT Project Control Workbook</t>
  </si>
  <si>
    <t>Jira-style sprint board + dependencies/timeline + IntelliJ-ready coding tasks</t>
  </si>
  <si>
    <t>What this workbook gives you</t>
  </si>
  <si>
    <t>A practical replacement for Jira: backlog, sprint board, timeline, dependencies, architecture, coding tasks by file/class, API, DB, risks, and release checklist.</t>
  </si>
  <si>
    <t>How to use it</t>
  </si>
  <si>
    <t>Start from Dashboard, then manage work in Sprint Board and Backlog. Use Dependencies &amp; Timeline before assigning sprint dates. Use IntelliJ Coding Tasks when you are ready to code file-by-file.</t>
  </si>
  <si>
    <t>Suggested stack</t>
  </si>
  <si>
    <t>Next.js + Tailwind frontend, NestJS backend, PostgreSQL/Supabase, Supabase Storage/S3, JWT/RLS, Vercel + Railway/Render/AWS deployment.</t>
  </si>
  <si>
    <t>Status values</t>
  </si>
  <si>
    <t>Todo, In Progress, Blocked, Review, Done</t>
  </si>
  <si>
    <t>Project Dashboard</t>
  </si>
  <si>
    <t>High-level project health, sprint progress, and delivery controls</t>
  </si>
  <si>
    <t>Total Tasks</t>
  </si>
  <si>
    <t>Done</t>
  </si>
  <si>
    <t>In Progress</t>
  </si>
  <si>
    <t>Blocked</t>
  </si>
  <si>
    <t>Total Points</t>
  </si>
  <si>
    <t>Done Points</t>
  </si>
  <si>
    <t>Sprint</t>
  </si>
  <si>
    <t>Tasks</t>
  </si>
  <si>
    <t>Points</t>
  </si>
  <si>
    <t>Completion %</t>
  </si>
  <si>
    <t>Status</t>
  </si>
  <si>
    <t>Count</t>
  </si>
  <si>
    <t>Sprint 1</t>
  </si>
  <si>
    <t>Todo</t>
  </si>
  <si>
    <t>Sprint 2</t>
  </si>
  <si>
    <t>Sprint 3</t>
  </si>
  <si>
    <t>Sprint 4</t>
  </si>
  <si>
    <t>Review</t>
  </si>
  <si>
    <t>Sprint 5</t>
  </si>
  <si>
    <t>Sprint 6</t>
  </si>
  <si>
    <t>Sprint 7</t>
  </si>
  <si>
    <t>Sprint 8</t>
  </si>
  <si>
    <t>Sprint 9</t>
  </si>
  <si>
    <t>Task ID</t>
  </si>
  <si>
    <t>Epic</t>
  </si>
  <si>
    <t>Title</t>
  </si>
  <si>
    <t>Priority</t>
  </si>
  <si>
    <t>Story Points</t>
  </si>
  <si>
    <t>Description</t>
  </si>
  <si>
    <t>Acceptance Criteria</t>
  </si>
  <si>
    <t>Owner Role</t>
  </si>
  <si>
    <t>Start Date</t>
  </si>
  <si>
    <t>Duration Days</t>
  </si>
  <si>
    <t>End Date</t>
  </si>
  <si>
    <t>Dependencies</t>
  </si>
  <si>
    <t>Files / Classes</t>
  </si>
  <si>
    <t>Notes</t>
  </si>
  <si>
    <t>IAM-001</t>
  </si>
  <si>
    <t>Project Setup</t>
  </si>
  <si>
    <t>Initialize Git repositories</t>
  </si>
  <si>
    <t>Critical</t>
  </si>
  <si>
    <t>Create mono-repo or two repos for frontend/backend with branch rules.</t>
  </si>
  <si>
    <t>Repos created; README exists; main/dev branches; .gitignore committed</t>
  </si>
  <si>
    <t>DevOps</t>
  </si>
  <si>
    <t>/README.md; /.gitignore</t>
  </si>
  <si>
    <t>IAM-002</t>
  </si>
  <si>
    <t>Create Next.js app</t>
  </si>
  <si>
    <t>Frontend</t>
  </si>
  <si>
    <t>IAM-003</t>
  </si>
  <si>
    <t>Create NestJS backend</t>
  </si>
  <si>
    <t>Initialize NestJS TypeScript API service with modules folder.</t>
  </si>
  <si>
    <t>API starts locally; health endpoint returns OK; Swagger enabled</t>
  </si>
  <si>
    <t>Backend</t>
  </si>
  <si>
    <t>IAM-004</t>
  </si>
  <si>
    <t>Configure environment management</t>
  </si>
  <si>
    <t>High</t>
  </si>
  <si>
    <t>Create .env examples and config validation for frontend/backend.</t>
  </si>
  <si>
    <t>No secrets committed; env schema validates required values</t>
  </si>
  <si>
    <t>IAM-002,IAM-003</t>
  </si>
  <si>
    <t>IAM-005</t>
  </si>
  <si>
    <t>Setup code quality tools</t>
  </si>
  <si>
    <t>Add ESLint, Prettier, lint scripts, formatting rules.</t>
  </si>
  <si>
    <t>npm run lint passes; consistent formatting</t>
  </si>
  <si>
    <t>IAM-006</t>
  </si>
  <si>
    <t>Database Foundation</t>
  </si>
  <si>
    <t>Create Supabase project</t>
  </si>
  <si>
    <t>Provision Supabase project and connection settings.</t>
  </si>
  <si>
    <t>DB reachable; connection string configured; local migration flow documented</t>
  </si>
  <si>
    <t>Database</t>
  </si>
  <si>
    <t>supabase/config.toml</t>
  </si>
  <si>
    <t>IAM-007</t>
  </si>
  <si>
    <t>Create base audit trigger</t>
  </si>
  <si>
    <t>Add timestamptz audit fields and reusable trigger function.</t>
  </si>
  <si>
    <t>created_at/updated_at use timestamptz; trigger tested</t>
  </si>
  <si>
    <t>supabase/migrations/001_audit.sql</t>
  </si>
  <si>
    <t>IAM-008</t>
  </si>
  <si>
    <t>Auth</t>
  </si>
  <si>
    <t>Build auth DTOs and validation</t>
  </si>
  <si>
    <t>Create register/login DTOs with validation rules.</t>
  </si>
  <si>
    <t>Invalid payloads rejected; password/email rules enforced</t>
  </si>
  <si>
    <t>IAM-009</t>
  </si>
  <si>
    <t>Auth UI shell</t>
  </si>
  <si>
    <t>Create login/register pages with role selection.</t>
  </si>
  <si>
    <t>User can navigate between login/register; form validation visible</t>
  </si>
  <si>
    <t>IAM-010</t>
  </si>
  <si>
    <t>Multi-Tenant Schema</t>
  </si>
  <si>
    <t>Create tenants table</t>
  </si>
  <si>
    <t>Create tenants table with audit fields and unique name constraints.</t>
  </si>
  <si>
    <t>Migration applies; tenant can be inserted; RLS enabled</t>
  </si>
  <si>
    <t>supabase/migrations/010_tenants.sql</t>
  </si>
  <si>
    <t>IAM-011</t>
  </si>
  <si>
    <t>Create app_users table</t>
  </si>
  <si>
    <t>Create app user profile linked to Supabase auth.users.</t>
  </si>
  <si>
    <t>User profile linked to auth ID; role column constrained</t>
  </si>
  <si>
    <t>supabase/migrations/011_users.sql</t>
  </si>
  <si>
    <t>IAM-012</t>
  </si>
  <si>
    <t>Create transporter profiles table</t>
  </si>
  <si>
    <t>Store company/dispatch/broker information by tenant.</t>
  </si>
  <si>
    <t>Profile belongs to tenant; audit fields exist</t>
  </si>
  <si>
    <t>supabase/migrations/012_transporter_profiles.sql</t>
  </si>
  <si>
    <t>IAM-013</t>
  </si>
  <si>
    <t>Create car puller profiles table</t>
  </si>
  <si>
    <t>Store car puller name/photo/logo/phone details.</t>
  </si>
  <si>
    <t>Profile belongs to tenant/user; photo_url/logo_url supported</t>
  </si>
  <si>
    <t>supabase/migrations/013_car_puller_profiles.sql</t>
  </si>
  <si>
    <t>IAM-014</t>
  </si>
  <si>
    <t>Multi-Tenant Security</t>
  </si>
  <si>
    <t>Implement tenant RLS policies</t>
  </si>
  <si>
    <t>Add RLS policies for tenants, users, profiles.</t>
  </si>
  <si>
    <t>Tenant A cannot query Tenant B data; policy tests pass</t>
  </si>
  <si>
    <t>Security</t>
  </si>
  <si>
    <t>IAM-010,IAM-011,IAM-012,IAM-013</t>
  </si>
  <si>
    <t>supabase/migrations/014_rls_core.sql</t>
  </si>
  <si>
    <t>IAM-015</t>
  </si>
  <si>
    <t>Implement register company flow</t>
  </si>
  <si>
    <t>Backend creates tenant + first admin user.</t>
  </si>
  <si>
    <t>New transporter creates tenant; first user becomes admin</t>
  </si>
  <si>
    <t>IAM-008,IAM-010,IAM-011</t>
  </si>
  <si>
    <t>IAM-016</t>
  </si>
  <si>
    <t>Implement login flow</t>
  </si>
  <si>
    <t>Backend validates credentials and returns session/JWT context.</t>
  </si>
  <si>
    <t>Valid login works; invalid login returns safe error; tenant_id included</t>
  </si>
  <si>
    <t>IAM-008,IAM-011</t>
  </si>
  <si>
    <t>IAM-017</t>
  </si>
  <si>
    <t>Frontend Auth</t>
  </si>
  <si>
    <t>Connect login/register UI to API</t>
  </si>
  <si>
    <t>Wire forms to auth endpoints and store session safely.</t>
  </si>
  <si>
    <t>Successful login redirects; errors displayed; loading states exist</t>
  </si>
  <si>
    <t>IAM-009,IAM-015,IAM-016</t>
  </si>
  <si>
    <t>IAM-018</t>
  </si>
  <si>
    <t>Authorization</t>
  </si>
  <si>
    <t>Create auth guard and role guard</t>
  </si>
  <si>
    <t>Protect backend routes by JWT and roles.</t>
  </si>
  <si>
    <t>Unauthorized blocked; forbidden roles blocked</t>
  </si>
  <si>
    <t>IAM-019</t>
  </si>
  <si>
    <t>Tenant Invitations</t>
  </si>
  <si>
    <t>Create invitations table</t>
  </si>
  <si>
    <t>Store tenant invitations with token, role, email, expiry.</t>
  </si>
  <si>
    <t>Tokens unique; accepted flag supported; RLS enabled</t>
  </si>
  <si>
    <t>supabase/migrations/019_invitations.sql</t>
  </si>
  <si>
    <t>IAM-020</t>
  </si>
  <si>
    <t>Build invite user API</t>
  </si>
  <si>
    <t>Admin can invite dispatcher/car puller to tenant.</t>
  </si>
  <si>
    <t>Invite created; duplicate invite handled; admin only</t>
  </si>
  <si>
    <t>IAM-018,IAM-019</t>
  </si>
  <si>
    <t>IAM-021</t>
  </si>
  <si>
    <t>Build accept invitation API</t>
  </si>
  <si>
    <t>User can accept invitation and join tenant.</t>
  </si>
  <si>
    <t>Valid token assigns tenant; expired token rejected</t>
  </si>
  <si>
    <t>IAM-022</t>
  </si>
  <si>
    <t>User Management</t>
  </si>
  <si>
    <t>Build users list API</t>
  </si>
  <si>
    <t>Admin can list users in same tenant.</t>
  </si>
  <si>
    <t>Only tenant users returned; pagination exists</t>
  </si>
  <si>
    <t>IAM-023</t>
  </si>
  <si>
    <t>Build user management UI</t>
  </si>
  <si>
    <t>Medium</t>
  </si>
  <si>
    <t>Users page with invite modal and role display.</t>
  </si>
  <si>
    <t>Admin sees users; invite modal works; validation shown</t>
  </si>
  <si>
    <t>IAM-017,IAM-020,IAM-022</t>
  </si>
  <si>
    <t>IAM-024</t>
  </si>
  <si>
    <t>Layout</t>
  </si>
  <si>
    <t>Create dashboard layout</t>
  </si>
  <si>
    <t>Sidebar, topbar, tenant name, user menu, responsive layout.</t>
  </si>
  <si>
    <t>Mobile and desktop usable; navigation links work</t>
  </si>
  <si>
    <t>IAM-025</t>
  </si>
  <si>
    <t>Profile</t>
  </si>
  <si>
    <t>Build transporter profile API/UI</t>
  </si>
  <si>
    <t>Allow admin to view/update company dispatch and broker info.</t>
  </si>
  <si>
    <t>Profile saves; audit fields update; tenant isolated</t>
  </si>
  <si>
    <t>Fullstack</t>
  </si>
  <si>
    <t>IAM-012,IAM-018,IAM-024</t>
  </si>
  <si>
    <t>IAM-026</t>
  </si>
  <si>
    <t>Tasks Schema</t>
  </si>
  <si>
    <t>Create tasks table</t>
  </si>
  <si>
    <t>Create tasks/work_orders table with status, assigned_to, notes.</t>
  </si>
  <si>
    <t>Migration applies; status constrained; tenant_id indexed</t>
  </si>
  <si>
    <t>supabase/migrations/026_tasks.sql</t>
  </si>
  <si>
    <t>IAM-027</t>
  </si>
  <si>
    <t>Create task status history table</t>
  </si>
  <si>
    <t>Store status changes for audit/timeline.</t>
  </si>
  <si>
    <t>Every status change can be recorded; user and timestamp stored</t>
  </si>
  <si>
    <t>supabase/migrations/027_task_status_history.sql</t>
  </si>
  <si>
    <t>IAM-028</t>
  </si>
  <si>
    <t>Tasks API</t>
  </si>
  <si>
    <t>Create task DTOs</t>
  </si>
  <si>
    <t>Define create/update/status DTOs with validation.</t>
  </si>
  <si>
    <t>DTO validation rejects bad status or missing required fields</t>
  </si>
  <si>
    <t>IAM-029</t>
  </si>
  <si>
    <t>Build create task API</t>
  </si>
  <si>
    <t>Transporter creates task/work order and assigns car puller.</t>
  </si>
  <si>
    <t>Task created; assigned user must be in tenant; response includes task ID</t>
  </si>
  <si>
    <t>IAM-018,IAM-026,IAM-028</t>
  </si>
  <si>
    <t>IAM-030</t>
  </si>
  <si>
    <t>Build task listing API</t>
  </si>
  <si>
    <t>Return tasks filtered by tenant and role.</t>
  </si>
  <si>
    <t>Transporter sees tenant tasks; car puller sees assigned tasks only</t>
  </si>
  <si>
    <t>IAM-031</t>
  </si>
  <si>
    <t>Build task detail API</t>
  </si>
  <si>
    <t>Return task, assignee, updates, history.</t>
  </si>
  <si>
    <t>Only authorized tenant users can view; missing task returns 404</t>
  </si>
  <si>
    <t>IAM-032</t>
  </si>
  <si>
    <t>Build status transition API</t>
  </si>
  <si>
    <t>Allow pending→accepted→in_progress→paused/completed→closed rules.</t>
  </si>
  <si>
    <t>Invalid transitions rejected; history row created</t>
  </si>
  <si>
    <t>IAM-027,IAM-031</t>
  </si>
  <si>
    <t>IAM-033</t>
  </si>
  <si>
    <t>Tasks UI</t>
  </si>
  <si>
    <t>Build task list page</t>
  </si>
  <si>
    <t>Task board/list with status filters and priority badges.</t>
  </si>
  <si>
    <t>Filters work; pagination/search works; tenant data only</t>
  </si>
  <si>
    <t>IAM-024,IAM-030</t>
  </si>
  <si>
    <t>IAM-034</t>
  </si>
  <si>
    <t>Build create task page</t>
  </si>
  <si>
    <t>Form for work order, notes, selected car puller, priority.</t>
  </si>
  <si>
    <t>Form validates; task created; redirects to detail</t>
  </si>
  <si>
    <t>IAM-023,IAM-029</t>
  </si>
  <si>
    <t>IAM-035</t>
  </si>
  <si>
    <t>Build task detail page</t>
  </si>
  <si>
    <t>Show task info, status, assignment, and timeline placeholder.</t>
  </si>
  <si>
    <t>Task detail loads; status actions visible by role</t>
  </si>
  <si>
    <t>IAM-031,IAM-033</t>
  </si>
  <si>
    <t>IAM-036</t>
  </si>
  <si>
    <t>Storage</t>
  </si>
  <si>
    <t>Create storage buckets and policies</t>
  </si>
  <si>
    <t>Configure work-orders, task-media, profile-images buckets.</t>
  </si>
  <si>
    <t>Bucket policies isolate tenant paths; size/type rules documented</t>
  </si>
  <si>
    <t>supabase/storage policies; supabase/migrations/036_storage.sql</t>
  </si>
  <si>
    <t>IAM-037</t>
  </si>
  <si>
    <t>Uploads API</t>
  </si>
  <si>
    <t>Build signed upload URL API</t>
  </si>
  <si>
    <t>Backend returns signed upload URL for tenant-scoped object path.</t>
  </si>
  <si>
    <t>Only authorized files allowed; path includes tenant_id</t>
  </si>
  <si>
    <t>IAM-036,IAM-018</t>
  </si>
  <si>
    <t>IAM-038</t>
  </si>
  <si>
    <t>Build file metadata table/API</t>
  </si>
  <si>
    <t>Store file metadata linked to task/user.</t>
  </si>
  <si>
    <t>File metadata created; ownership tracked; RLS enabled</t>
  </si>
  <si>
    <t>IAM-039</t>
  </si>
  <si>
    <t>Uploads UI</t>
  </si>
  <si>
    <t>Build reusable upload component</t>
  </si>
  <si>
    <t>Drag/drop or button upload with progress and validation.</t>
  </si>
  <si>
    <t>PDF/image/video upload; progress bar; errors visible</t>
  </si>
  <si>
    <t>IAM-040</t>
  </si>
  <si>
    <t>Task Updates</t>
  </si>
  <si>
    <t>Create task updates table</t>
  </si>
  <si>
    <t>Support note/image/video update records by task.</t>
  </si>
  <si>
    <t>Updates linked to task/tenant/user; timestamp stored</t>
  </si>
  <si>
    <t>IAM-026,IAM-038</t>
  </si>
  <si>
    <t>supabase/migrations/040_task_updates.sql</t>
  </si>
  <si>
    <t>IAM-041</t>
  </si>
  <si>
    <t>Build create task update API</t>
  </si>
  <si>
    <t>Car puller/transporter can add notes or media updates.</t>
  </si>
  <si>
    <t>Update saved; linked files validated; unauthorized blocked</t>
  </si>
  <si>
    <t>IAM-042</t>
  </si>
  <si>
    <t>Build task timeline UI</t>
  </si>
  <si>
    <t>Display notes, photos, videos, status history in chronological feed.</t>
  </si>
  <si>
    <t>Timeline sorted; media preview; user names visible</t>
  </si>
  <si>
    <t>IAM-035,IAM-039,IAM-041</t>
  </si>
  <si>
    <t>IAM-043</t>
  </si>
  <si>
    <t>Build car puller execution screen</t>
  </si>
  <si>
    <t>Mobile-first accept/start/pause/complete with upload proof.</t>
  </si>
  <si>
    <t>Large buttons; works on phone; status rules enforced</t>
  </si>
  <si>
    <t>IAM-032,IAM-042</t>
  </si>
  <si>
    <t>IAM-044</t>
  </si>
  <si>
    <t>Notifications</t>
  </si>
  <si>
    <t>Create notifications table</t>
  </si>
  <si>
    <t>Persist notifications by tenant/user/type/read state.</t>
  </si>
  <si>
    <t>Unread count queryable; RLS enabled</t>
  </si>
  <si>
    <t>supabase/migrations/044_notifications.sql</t>
  </si>
  <si>
    <t>IAM-045</t>
  </si>
  <si>
    <t>Build notification service</t>
  </si>
  <si>
    <t>Generate notifications for assigned/accepted/completed updates.</t>
  </si>
  <si>
    <t>Notifications created on task events; duplicate spam avoided</t>
  </si>
  <si>
    <t>IAM-032,IAM-044</t>
  </si>
  <si>
    <t>IAM-046</t>
  </si>
  <si>
    <t>Build notifications API</t>
  </si>
  <si>
    <t>List and mark notifications read.</t>
  </si>
  <si>
    <t>Unread/read works; users see only their notifications</t>
  </si>
  <si>
    <t>IAM-047</t>
  </si>
  <si>
    <t>Build notification dropdown UI</t>
  </si>
  <si>
    <t>Topbar notification bell with unread badge.</t>
  </si>
  <si>
    <t>Badge count correct; mark read works</t>
  </si>
  <si>
    <t>IAM-024,IAM-046</t>
  </si>
  <si>
    <t>IAM-048</t>
  </si>
  <si>
    <t>Dashboard</t>
  </si>
  <si>
    <t>Build transporter dashboard</t>
  </si>
  <si>
    <t>Cards for active/completed/pending tasks and recent updates.</t>
  </si>
  <si>
    <t>KPIs accurate; recent task list links to detail</t>
  </si>
  <si>
    <t>IAM-030,IAM-042</t>
  </si>
  <si>
    <t>IAM-049</t>
  </si>
  <si>
    <t>Build car puller dashboard</t>
  </si>
  <si>
    <t>My pending/active/completed tasks with quick actions.</t>
  </si>
  <si>
    <t>Assigned tasks only; action buttons work</t>
  </si>
  <si>
    <t>IAM-050</t>
  </si>
  <si>
    <t>Search &amp; Filters</t>
  </si>
  <si>
    <t>Implement task search/filter API</t>
  </si>
  <si>
    <t>Search by task ID, company, car puller, status, date range.</t>
  </si>
  <si>
    <t>Filters combine correctly; pagination still works</t>
  </si>
  <si>
    <t>IAM-051</t>
  </si>
  <si>
    <t>Implement frontend filters</t>
  </si>
  <si>
    <t>Add task status/search/date filters to task list.</t>
  </si>
  <si>
    <t>Filters update list; clear filters works</t>
  </si>
  <si>
    <t>IAM-050,IAM-033</t>
  </si>
  <si>
    <t>IAM-052</t>
  </si>
  <si>
    <t>Audit</t>
  </si>
  <si>
    <t>Apply audit triggers to all tables</t>
  </si>
  <si>
    <t>Ensure created_by/updated_by/created_at/updated_at across schema.</t>
  </si>
  <si>
    <t>All core tables audited; timestamptz used; tests pass</t>
  </si>
  <si>
    <t>IAM-007,IAM-040,IAM-044</t>
  </si>
  <si>
    <t>supabase/migrations/052_apply_audit.sql</t>
  </si>
  <si>
    <t>IAM-053</t>
  </si>
  <si>
    <t>Create audit logs table</t>
  </si>
  <si>
    <t>Record sensitive business events and changes.</t>
  </si>
  <si>
    <t>Audit logs created for task close/profile changes/invites</t>
  </si>
  <si>
    <t>supabase/migrations/053_audit_logs.sql</t>
  </si>
  <si>
    <t>IAM-054</t>
  </si>
  <si>
    <t>Security hardening review</t>
  </si>
  <si>
    <t>Review RLS, role guards, file policies, input validation.</t>
  </si>
  <si>
    <t>No known cross-tenant access; checklist completed</t>
  </si>
  <si>
    <t>IAM-014,IAM-018,IAM-036,IAM-052</t>
  </si>
  <si>
    <t>security/checklists/tenant-security.md</t>
  </si>
  <si>
    <t>IAM-055</t>
  </si>
  <si>
    <t>Testing</t>
  </si>
  <si>
    <t>Backend unit tests for auth/tenant</t>
  </si>
  <si>
    <t>Test register/login/tenant isolation guards.</t>
  </si>
  <si>
    <t>Tests pass in CI; critical auth paths covered</t>
  </si>
  <si>
    <t>QA</t>
  </si>
  <si>
    <t>IAM-016,IAM-018</t>
  </si>
  <si>
    <t>IAM-056</t>
  </si>
  <si>
    <t>Backend tests for tasks/uploads</t>
  </si>
  <si>
    <t>Test task CRUD/status/upload metadata.</t>
  </si>
  <si>
    <t>Status transitions and upload validation covered</t>
  </si>
  <si>
    <t>IAM-032,IAM-041</t>
  </si>
  <si>
    <t>IAM-057</t>
  </si>
  <si>
    <t>Frontend component tests</t>
  </si>
  <si>
    <t>Test login, create task, task detail, upload component.</t>
  </si>
  <si>
    <t>Critical components covered; tests pass</t>
  </si>
  <si>
    <t>IAM-039,IAM-042</t>
  </si>
  <si>
    <t>IAM-058</t>
  </si>
  <si>
    <t>End-to-end MVP flow test</t>
  </si>
  <si>
    <t>Test transporter creates task and car puller completes it.</t>
  </si>
  <si>
    <t>E2E passes; screenshots/videos generated if failing</t>
  </si>
  <si>
    <t>IAM-043,IAM-048,IAM-049</t>
  </si>
  <si>
    <t>e2e/iamonit-mvp.spec.ts</t>
  </si>
  <si>
    <t>IAM-059</t>
  </si>
  <si>
    <t>Deployment</t>
  </si>
  <si>
    <t>Setup GitHub Actions CI</t>
  </si>
  <si>
    <t>Lint/test/build frontend and backend on PR.</t>
  </si>
  <si>
    <t>CI passes; failed tests block merge</t>
  </si>
  <si>
    <t>IAM-055,IAM-057</t>
  </si>
  <si>
    <t>/.github/workflows/ci.yml</t>
  </si>
  <si>
    <t>IAM-060</t>
  </si>
  <si>
    <t>Deploy frontend to Vercel</t>
  </si>
  <si>
    <t>Connect frontend repo, env vars, preview deployments.</t>
  </si>
  <si>
    <t>Production URL live; preview deploys work</t>
  </si>
  <si>
    <t>vercel.json; frontend env</t>
  </si>
  <si>
    <t>IAM-061</t>
  </si>
  <si>
    <t>Deploy backend API</t>
  </si>
  <si>
    <t>Deploy NestJS API to Railway/Render/EC2.</t>
  </si>
  <si>
    <t>API URL live; health endpoint OK; env vars secure</t>
  </si>
  <si>
    <t>IAM-062</t>
  </si>
  <si>
    <t>Configure production Supabase</t>
  </si>
  <si>
    <t>Apply migrations, storage policies, RLS in production.</t>
  </si>
  <si>
    <t>Prod DB ready; backups enabled; policies verified</t>
  </si>
  <si>
    <t>IAM-054,IAM-061</t>
  </si>
  <si>
    <t>supabase migrations</t>
  </si>
  <si>
    <t>IAM-063</t>
  </si>
  <si>
    <t>Connect frontend to production API</t>
  </si>
  <si>
    <t>Configure CORS, env variables, auth redirect URLs.</t>
  </si>
  <si>
    <t>Frontend can login/register/create tasks in prod</t>
  </si>
  <si>
    <t>IAM-060,IAM-061,IAM-062</t>
  </si>
  <si>
    <t>frontend env; backend CORS config</t>
  </si>
  <si>
    <t>IAM-064</t>
  </si>
  <si>
    <t>Release</t>
  </si>
  <si>
    <t>Create MVP release checklist</t>
  </si>
  <si>
    <t>Prepare go-live checklist and rollback plan.</t>
  </si>
  <si>
    <t>Checklist complete; smoke tests signed off</t>
  </si>
  <si>
    <t>Product</t>
  </si>
  <si>
    <t>IAM-058,IAM-063</t>
  </si>
  <si>
    <t>release/mvp-checklist.md</t>
  </si>
  <si>
    <t>IAM-065</t>
  </si>
  <si>
    <t>User onboarding documentation</t>
  </si>
  <si>
    <t>Create simple docs for transporter and car puller users.</t>
  </si>
  <si>
    <t>Docs include screenshots and basic workflow</t>
  </si>
  <si>
    <t>docs/user-guide.md</t>
  </si>
  <si>
    <t>IAM-066</t>
  </si>
  <si>
    <t>Future Payments</t>
  </si>
  <si>
    <t>Design payment model</t>
  </si>
  <si>
    <t>Decide subscription/per-task/manual payment flow.</t>
  </si>
  <si>
    <t>Payment decision documented; Stripe/manual options compared</t>
  </si>
  <si>
    <t>docs/payments-design.md</t>
  </si>
  <si>
    <t>IAM-067</t>
  </si>
  <si>
    <t>Create payments schema</t>
  </si>
  <si>
    <t>Tables for payment status, amount, method, reference.</t>
  </si>
  <si>
    <t>Schema supports manual paid/closed flow first</t>
  </si>
  <si>
    <t>supabase/migrations/067_payments.sql</t>
  </si>
  <si>
    <t>IAM-068</t>
  </si>
  <si>
    <t>Build payment confirmation UI</t>
  </si>
  <si>
    <t>Transporter marks payment made and closes ticket.</t>
  </si>
  <si>
    <t>Payment status visible; close action allowed after paid</t>
  </si>
  <si>
    <t>IAM-067,IAM-035</t>
  </si>
  <si>
    <t>IAM-069</t>
  </si>
  <si>
    <t>Real-Time</t>
  </si>
  <si>
    <t>Add real-time task updates</t>
  </si>
  <si>
    <t>Low</t>
  </si>
  <si>
    <t>Use Supabase Realtime/WebSocket to refresh task timelines.</t>
  </si>
  <si>
    <t>Task update appears without manual refresh</t>
  </si>
  <si>
    <t>IAM-042,IAM-045</t>
  </si>
  <si>
    <t>IAM-070</t>
  </si>
  <si>
    <t>Add live notification updates</t>
  </si>
  <si>
    <t>Unread notifications update in real-time.</t>
  </si>
  <si>
    <t>Notification bell updates without refresh</t>
  </si>
  <si>
    <t>IAM-047,IAM-069</t>
  </si>
  <si>
    <t>Owner</t>
  </si>
  <si>
    <t>Start</t>
  </si>
  <si>
    <t>End</t>
  </si>
  <si>
    <t>Duration</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</si>
  <si>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</si>
  <si>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</si>
  <si>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</si>
  <si>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</si>
  <si>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</si>
  <si>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</si>
  <si>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</si>
  <si>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</si>
  <si>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</si>
  <si>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</si>
  <si>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</si>
  <si>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</si>
  <si>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</si>
  <si>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</si>
  <si>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</si>
  <si>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</si>
  <si>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</si>
  <si>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</si>
  <si>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</si>
  <si>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</si>
  <si>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</si>
  <si>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</si>
  <si>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</si>
  <si>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</si>
  <si>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</si>
  <si>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</si>
  <si>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</si>
  <si>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</si>
  <si>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</si>
  <si>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</si>
  <si>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</si>
  <si>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</si>
  <si>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</si>
  <si>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</si>
  <si>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</si>
  <si>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</si>
  <si>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</si>
  <si>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</si>
  <si>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</si>
  <si>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</si>
  <si>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</si>
  <si>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</si>
  <si>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t>
  </si>
  <si>
    <t>Task Title</t>
  </si>
  <si>
    <t>Depends On</t>
  </si>
  <si>
    <t>Dependency Meaning</t>
  </si>
  <si>
    <t>Blocking Risk</t>
  </si>
  <si>
    <t>Ready?</t>
  </si>
  <si>
    <t>No dependency</t>
  </si>
  <si>
    <t>Finish dependency before starting this task</t>
  </si>
  <si>
    <t>Code</t>
  </si>
  <si>
    <t>Layer</t>
  </si>
  <si>
    <t>Module</t>
  </si>
  <si>
    <t>File / Class</t>
  </si>
  <si>
    <t>Exact Coding Task</t>
  </si>
  <si>
    <t>Implementation Notes</t>
  </si>
  <si>
    <t>Related Jira Task</t>
  </si>
  <si>
    <t>CODE-001</t>
  </si>
  <si>
    <t>config</t>
  </si>
  <si>
    <t>CODE-002</t>
  </si>
  <si>
    <t>auth</t>
  </si>
  <si>
    <t>Create RegisterDto</t>
  </si>
  <si>
    <t>Fields: email,password,role,companyName,fullName,phone. Use class-validator.</t>
  </si>
  <si>
    <t>Invalid registration payload rejected</t>
  </si>
  <si>
    <t>CODE-003</t>
  </si>
  <si>
    <t>Create LoginDto</t>
  </si>
  <si>
    <t>Fields: email,password.</t>
  </si>
  <si>
    <t>Invalid login payload rejected</t>
  </si>
  <si>
    <t>CODE-004</t>
  </si>
  <si>
    <t>Implement register/login endpoints</t>
  </si>
  <si>
    <t>POST /auth/register and POST /auth/login.</t>
  </si>
  <si>
    <t>IAM-015,IAM-016</t>
  </si>
  <si>
    <t>Endpoints return expected DTO responses</t>
  </si>
  <si>
    <t>CODE-005</t>
  </si>
  <si>
    <t>Implement company registration service</t>
  </si>
  <si>
    <t>Create tenant, user profile, transporter profile in transaction.</t>
  </si>
  <si>
    <t>Tenant admin created atomically</t>
  </si>
  <si>
    <t>CODE-006</t>
  </si>
  <si>
    <t>Implement JWT strategy</t>
  </si>
  <si>
    <t>Validate token, attach user_id, tenant_id, role.</t>
  </si>
  <si>
    <t>Protected requests have user context</t>
  </si>
  <si>
    <t>CODE-007</t>
  </si>
  <si>
    <t>common</t>
  </si>
  <si>
    <t>Create auth guard</t>
  </si>
  <si>
    <t>Reject unauthenticated requests.</t>
  </si>
  <si>
    <t>401 returned without token</t>
  </si>
  <si>
    <t>CODE-008</t>
  </si>
  <si>
    <t>Create role guard</t>
  </si>
  <si>
    <t>Allow decorators like @Roles("admin").</t>
  </si>
  <si>
    <t>403 returned for wrong role</t>
  </si>
  <si>
    <t>CODE-009</t>
  </si>
  <si>
    <t>tenants</t>
  </si>
  <si>
    <t>Create tenant service</t>
  </si>
  <si>
    <t>Create/get current tenant and update company settings.</t>
  </si>
  <si>
    <t>Tenant data isolated</t>
  </si>
  <si>
    <t>CODE-010</t>
  </si>
  <si>
    <t>users</t>
  </si>
  <si>
    <t>Build users controller</t>
  </si>
  <si>
    <t>GET /users returns tenant users.</t>
  </si>
  <si>
    <t>No cross-tenant users returned</t>
  </si>
  <si>
    <t>CODE-011</t>
  </si>
  <si>
    <t>Build users service</t>
  </si>
  <si>
    <t>Find users by tenant and update roles.</t>
  </si>
  <si>
    <t>Role changes restricted to admin</t>
  </si>
  <si>
    <t>CODE-012</t>
  </si>
  <si>
    <t>invitations</t>
  </si>
  <si>
    <t>Build invitation endpoints</t>
  </si>
  <si>
    <t>POST /invitations and POST /invitations/accept.</t>
  </si>
  <si>
    <t>IAM-020,IAM-021</t>
  </si>
  <si>
    <t>Invitation flow works</t>
  </si>
  <si>
    <t>CODE-013</t>
  </si>
  <si>
    <t>Implement token creation/acceptance</t>
  </si>
  <si>
    <t>Generate secure token, handle expiry/accepted state.</t>
  </si>
  <si>
    <t>Expired tokens rejected</t>
  </si>
  <si>
    <t>CODE-014</t>
  </si>
  <si>
    <t>tasks</t>
  </si>
  <si>
    <t>Create CreateTaskDto</t>
  </si>
  <si>
    <t>Fields: assignedTo, notes, priority, workOrderFileId.</t>
  </si>
  <si>
    <t>Bad task payload rejected</t>
  </si>
  <si>
    <t>CODE-015</t>
  </si>
  <si>
    <t>Implement task CRUD endpoints</t>
  </si>
  <si>
    <t>GET /tasks, POST /tasks, GET /tasks/:id.</t>
  </si>
  <si>
    <t>IAM-029,IAM-030,IAM-031</t>
  </si>
  <si>
    <t>CRUD works with tenant isolation</t>
  </si>
  <si>
    <t>CODE-016</t>
  </si>
  <si>
    <t>Implement task business logic</t>
  </si>
  <si>
    <t>Create, list, get detail with role-based filtering.</t>
  </si>
  <si>
    <t>Car puller sees only assigned tasks</t>
  </si>
  <si>
    <t>CODE-017</t>
  </si>
  <si>
    <t>Implement status transitions</t>
  </si>
  <si>
    <t>Validate pending→accepted→in_progress→paused/completed→closed.</t>
  </si>
  <si>
    <t>Invalid transition rejected</t>
  </si>
  <si>
    <t>CODE-018</t>
  </si>
  <si>
    <t>uploads</t>
  </si>
  <si>
    <t>Build signed URL endpoint</t>
  </si>
  <si>
    <t>POST /uploads/signed-url.</t>
  </si>
  <si>
    <t>Returns signed upload URL</t>
  </si>
  <si>
    <t>CODE-019</t>
  </si>
  <si>
    <t>Generate tenant-scoped storage paths</t>
  </si>
  <si>
    <t>Path format: tenant/{tenant_id}/tasks/{task_id}/file.</t>
  </si>
  <si>
    <t>Storage path cannot escape tenant</t>
  </si>
  <si>
    <t>CODE-020</t>
  </si>
  <si>
    <t>task-updates</t>
  </si>
  <si>
    <t>Build task update endpoint</t>
  </si>
  <si>
    <t>POST /tasks/:id/updates.</t>
  </si>
  <si>
    <t>Can add note/media update</t>
  </si>
  <si>
    <t>CODE-021</t>
  </si>
  <si>
    <t>notifications</t>
  </si>
  <si>
    <t>Emit notification records</t>
  </si>
  <si>
    <t>Create notifications on assign/status/update.</t>
  </si>
  <si>
    <t>Notifications created reliably</t>
  </si>
  <si>
    <t>CODE-022</t>
  </si>
  <si>
    <t>Build login page</t>
  </si>
  <si>
    <t>IAM-009,IAM-017</t>
  </si>
  <si>
    <t>CODE-023</t>
  </si>
  <si>
    <t>Build registration page</t>
  </si>
  <si>
    <t>CODE-024</t>
  </si>
  <si>
    <t>lib</t>
  </si>
  <si>
    <t>Create API client</t>
  </si>
  <si>
    <t>Fetch wrapper with auth token and error handling.</t>
  </si>
  <si>
    <t>API errors handled consistently</t>
  </si>
  <si>
    <t>CODE-025</t>
  </si>
  <si>
    <t>Create auth helpers</t>
  </si>
  <si>
    <t>Login/logout/getSession/useCurrentUser.</t>
  </si>
  <si>
    <t>Session persists safely</t>
  </si>
  <si>
    <t>CODE-026</t>
  </si>
  <si>
    <t>layout</t>
  </si>
  <si>
    <t>Build sidebar navigation</t>
  </si>
  <si>
    <t>Role-based nav items.</t>
  </si>
  <si>
    <t>Car puller/admin see correct nav</t>
  </si>
  <si>
    <t>CODE-027</t>
  </si>
  <si>
    <t>Build topbar</t>
  </si>
  <si>
    <t>Tenant name, user menu, notification bell.</t>
  </si>
  <si>
    <t>IAM-024,IAM-047</t>
  </si>
  <si>
    <t>Topbar shows current context</t>
  </si>
  <si>
    <t>CODE-028</t>
  </si>
  <si>
    <t>Filters, search, cards/table.</t>
  </si>
  <si>
    <t>IAM-033,IAM-051</t>
  </si>
  <si>
    <t>Task list usable</t>
  </si>
  <si>
    <t>CODE-029</t>
  </si>
  <si>
    <t>Form with assigned car puller, notes, work order upload.</t>
  </si>
  <si>
    <t>Task can be created</t>
  </si>
  <si>
    <t>CODE-030</t>
  </si>
  <si>
    <t>Task status, notes, timeline, action buttons.</t>
  </si>
  <si>
    <t>Task details display</t>
  </si>
  <si>
    <t>CODE-031</t>
  </si>
  <si>
    <t>Build timeline component</t>
  </si>
  <si>
    <t>Show notes, photos, videos, status history.</t>
  </si>
  <si>
    <t>Timeline sorted correctly</t>
  </si>
  <si>
    <t>CODE-032</t>
  </si>
  <si>
    <t>Build file uploader</t>
  </si>
  <si>
    <t>Upload PDF/image/video using signed URL.</t>
  </si>
  <si>
    <t>Progress/errors shown</t>
  </si>
  <si>
    <t>CODE-033</t>
  </si>
  <si>
    <t>my-tasks</t>
  </si>
  <si>
    <t>Build mobile execution page</t>
  </si>
  <si>
    <t>Accept/start/pause/complete + proof upload.</t>
  </si>
  <si>
    <t>Usable on mobile</t>
  </si>
  <si>
    <t>CODE-034</t>
  </si>
  <si>
    <t>Build notification dropdown</t>
  </si>
  <si>
    <t>Unread badge, list, mark read.</t>
  </si>
  <si>
    <t>Unread count updates</t>
  </si>
  <si>
    <t>CODE-035</t>
  </si>
  <si>
    <t>migrations</t>
  </si>
  <si>
    <t>Create tenants migration</t>
  </si>
  <si>
    <t>CODE-036</t>
  </si>
  <si>
    <t>Create tasks migration</t>
  </si>
  <si>
    <t>tasks table indexes tenant_id,status,assigned_to.</t>
  </si>
  <si>
    <t>Task queries performant</t>
  </si>
  <si>
    <t>CODE-037</t>
  </si>
  <si>
    <t>Create core RLS policies</t>
  </si>
  <si>
    <t>Policies for tenants/users/profiles.</t>
  </si>
  <si>
    <t>Cross-tenant read blocked</t>
  </si>
  <si>
    <t>CODE-038</t>
  </si>
  <si>
    <t>supabase/migrations/036_storage.sql</t>
  </si>
  <si>
    <t>Create storage policies</t>
  </si>
  <si>
    <t>Tenant-scoped buckets and paths.</t>
  </si>
  <si>
    <t>Files isolated by tenant</t>
  </si>
  <si>
    <t>CODE-039</t>
  </si>
  <si>
    <t>tests</t>
  </si>
  <si>
    <t>Write task service tests</t>
  </si>
  <si>
    <t>Create/list/status transition tests.</t>
  </si>
  <si>
    <t>Tests pass</t>
  </si>
  <si>
    <t>CODE-040</t>
  </si>
  <si>
    <t>e2e</t>
  </si>
  <si>
    <t>Write E2E MVP test</t>
  </si>
  <si>
    <t>Register, create task, accept, upload proof, complete.</t>
  </si>
  <si>
    <t>E2E flow passes</t>
  </si>
  <si>
    <t>Area</t>
  </si>
  <si>
    <t>Path</t>
  </si>
  <si>
    <t>Purpose</t>
  </si>
  <si>
    <t>Primary Related Tasks</t>
  </si>
  <si>
    <t>Build Order</t>
  </si>
  <si>
    <t>Method</t>
  </si>
  <si>
    <t>Endpoint</t>
  </si>
  <si>
    <t>Role Access</t>
  </si>
  <si>
    <t>Request Body / Params</t>
  </si>
  <si>
    <t>Response</t>
  </si>
  <si>
    <t>Related Tasks</t>
  </si>
  <si>
    <t>POST</t>
  </si>
  <si>
    <t>/auth/register</t>
  </si>
  <si>
    <t>Register new company admin or invited user</t>
  </si>
  <si>
    <t>Public</t>
  </si>
  <si>
    <t>email,password,role,company/profile fields</t>
  </si>
  <si>
    <t>session + user context</t>
  </si>
  <si>
    <t>IAM-015,IAM-017</t>
  </si>
  <si>
    <t>/auth/login</t>
  </si>
  <si>
    <t>Authenticate user</t>
  </si>
  <si>
    <t>email,password</t>
  </si>
  <si>
    <t>IAM-016,IAM-017</t>
  </si>
  <si>
    <t>GET</t>
  </si>
  <si>
    <t>/users</t>
  </si>
  <si>
    <t>List tenant users</t>
  </si>
  <si>
    <t>Admin</t>
  </si>
  <si>
    <t>query: page,search</t>
  </si>
  <si>
    <t>users[]</t>
  </si>
  <si>
    <t>IAM-022,IAM-023</t>
  </si>
  <si>
    <t>/invitations</t>
  </si>
  <si>
    <t>Invite user to tenant</t>
  </si>
  <si>
    <t>email,role</t>
  </si>
  <si>
    <t>invitation</t>
  </si>
  <si>
    <t>/invitations/accept</t>
  </si>
  <si>
    <t>Accept invite</t>
  </si>
  <si>
    <t>Public/Auth</t>
  </si>
  <si>
    <t>token,password/profile fields</t>
  </si>
  <si>
    <t>user joined tenant</t>
  </si>
  <si>
    <t>/tasks</t>
  </si>
  <si>
    <t>List tasks by tenant/role</t>
  </si>
  <si>
    <t>Admin,Dispatcher,Car Puller</t>
  </si>
  <si>
    <t>status,search,page,date range</t>
  </si>
  <si>
    <t>tasks[]</t>
  </si>
  <si>
    <t>IAM-030,IAM-033,IAM-050</t>
  </si>
  <si>
    <t>Create task</t>
  </si>
  <si>
    <t>Admin,Dispatcher</t>
  </si>
  <si>
    <t>assignedTo,notes,priority,workOrderFileId</t>
  </si>
  <si>
    <t>task</t>
  </si>
  <si>
    <t>IAM-029,IAM-034</t>
  </si>
  <si>
    <t>/tasks/:id</t>
  </si>
  <si>
    <t>Get task detail</t>
  </si>
  <si>
    <t>Tenant user with access</t>
  </si>
  <si>
    <t>task id</t>
  </si>
  <si>
    <t>task + updates + history</t>
  </si>
  <si>
    <t>IAM-031,IAM-035</t>
  </si>
  <si>
    <t>PATCH</t>
  </si>
  <si>
    <t>/tasks/:id/status</t>
  </si>
  <si>
    <t>Update task status</t>
  </si>
  <si>
    <t>Assigned role/user</t>
  </si>
  <si>
    <t>status,note</t>
  </si>
  <si>
    <t>updated task</t>
  </si>
  <si>
    <t>IAM-032,IAM-043</t>
  </si>
  <si>
    <t>/uploads/signed-url</t>
  </si>
  <si>
    <t>Get signed upload URL</t>
  </si>
  <si>
    <t>Authenticated</t>
  </si>
  <si>
    <t>fileName,mimeType,size,taskId</t>
  </si>
  <si>
    <t>signedUrl,filePath</t>
  </si>
  <si>
    <t>IAM-037,IAM-039</t>
  </si>
  <si>
    <t>/tasks/:id/updates</t>
  </si>
  <si>
    <t>Create note/media update</t>
  </si>
  <si>
    <t>type,note,fileIds</t>
  </si>
  <si>
    <t>task update</t>
  </si>
  <si>
    <t>IAM-041,IAM-042</t>
  </si>
  <si>
    <t>/notifications</t>
  </si>
  <si>
    <t>List notifications</t>
  </si>
  <si>
    <t>page,unreadOnly</t>
  </si>
  <si>
    <t>notifications[]</t>
  </si>
  <si>
    <t>IAM-046,IAM-047</t>
  </si>
  <si>
    <t>/notifications/:id/read</t>
  </si>
  <si>
    <t>Mark read</t>
  </si>
  <si>
    <t>id</t>
  </si>
  <si>
    <t>notification</t>
  </si>
  <si>
    <t>Table</t>
  </si>
  <si>
    <t>Key Columns</t>
  </si>
  <si>
    <t>Tenant/RLS Rule</t>
  </si>
  <si>
    <t>Audit Fields</t>
  </si>
  <si>
    <t>Company/tenant container</t>
  </si>
  <si>
    <t>id,name,status</t>
  </si>
  <si>
    <t>Admin can access own tenant</t>
  </si>
  <si>
    <t>created_at,updated_at,created_by,updated_by</t>
  </si>
  <si>
    <t>IAM-010,IAM-014</t>
  </si>
  <si>
    <t>app_users</t>
  </si>
  <si>
    <t>User profile linked to auth.users</t>
  </si>
  <si>
    <t>id,tenant_id,role,full_name,phone</t>
  </si>
  <si>
    <t>Users can see tenant users by policy/admin rules</t>
  </si>
  <si>
    <t>IAM-011,IAM-014</t>
  </si>
  <si>
    <t>transporter_profiles</t>
  </si>
  <si>
    <t>Transporter company/dispatch/broker info</t>
  </si>
  <si>
    <t>tenant_id,company_name,dispatch_name,broker_name</t>
  </si>
  <si>
    <t>tenant_id = current user tenant</t>
  </si>
  <si>
    <t>IAM-012,IAM-025</t>
  </si>
  <si>
    <t>car_puller_profiles</t>
  </si>
  <si>
    <t>Car puller profile and photo/logo</t>
  </si>
  <si>
    <t>user_id,tenant_id,photo_url,logo_url</t>
  </si>
  <si>
    <t>Tenant user invitation tokens</t>
  </si>
  <si>
    <t>tenant_id,email,role,token,expires_at,accepted</t>
  </si>
  <si>
    <t>Admin only create/list; token accept flow</t>
  </si>
  <si>
    <t>IAM-019-IAM-021</t>
  </si>
  <si>
    <t>Work orders/tasks</t>
  </si>
  <si>
    <t>tenant_id,created_by,assigned_to,status,notes,priority</t>
  </si>
  <si>
    <t>Tenant users; car puller assigned only</t>
  </si>
  <si>
    <t>IAM-026-IAM-032</t>
  </si>
  <si>
    <t>task_status_history</t>
  </si>
  <si>
    <t>Audit trail of task status changes</t>
  </si>
  <si>
    <t>task_id,from_status,to_status,changed_by</t>
  </si>
  <si>
    <t>Via parent task tenant</t>
  </si>
  <si>
    <t>created_at,created_by</t>
  </si>
  <si>
    <t>IAM-027,IAM-032</t>
  </si>
  <si>
    <t>files</t>
  </si>
  <si>
    <t>Uploaded file metadata</t>
  </si>
  <si>
    <t>tenant_id,task_id,path,mime_type,size_bytes</t>
  </si>
  <si>
    <t>tenant-scoped storage path and policy</t>
  </si>
  <si>
    <t>task_updates</t>
  </si>
  <si>
    <t>Timeline notes/images/videos</t>
  </si>
  <si>
    <t>tenant_id,task_id,type,note,file_id</t>
  </si>
  <si>
    <t>Via task tenant and user access</t>
  </si>
  <si>
    <t>IAM-040,IAM-041</t>
  </si>
  <si>
    <t>User notifications</t>
  </si>
  <si>
    <t>tenant_id,user_id,type,read_at,payload</t>
  </si>
  <si>
    <t>user_id = auth.uid() and tenant_id matched</t>
  </si>
  <si>
    <t>created_at,updated_at</t>
  </si>
  <si>
    <t>IAM-044-IAM-047</t>
  </si>
  <si>
    <t>audit_logs</t>
  </si>
  <si>
    <t>Sensitive business events</t>
  </si>
  <si>
    <t>tenant_id,actor_id,entity_type,entity_id,action</t>
  </si>
  <si>
    <t>Admin/security only by tenant</t>
  </si>
  <si>
    <t>Screen Code</t>
  </si>
  <si>
    <t>Screen</t>
  </si>
  <si>
    <t>Route</t>
  </si>
  <si>
    <t>Role</t>
  </si>
  <si>
    <t>Components</t>
  </si>
  <si>
    <t>UI-001</t>
  </si>
  <si>
    <t>Login</t>
  </si>
  <si>
    <t>/login</t>
  </si>
  <si>
    <t>All</t>
  </si>
  <si>
    <t>Authenticate existing users</t>
  </si>
  <si>
    <t>LoginForm</t>
  </si>
  <si>
    <t>UI-002</t>
  </si>
  <si>
    <t>Register</t>
  </si>
  <si>
    <t>/register</t>
  </si>
  <si>
    <t>Register new tenant/admin or car puller</t>
  </si>
  <si>
    <t>RegisterForm,RoleSelector</t>
  </si>
  <si>
    <t>UI-003</t>
  </si>
  <si>
    <t>/dashboard</t>
  </si>
  <si>
    <t>Admin/Dispatcher</t>
  </si>
  <si>
    <t>Show KPIs and recent activity</t>
  </si>
  <si>
    <t>KpiCard,RecentTasks</t>
  </si>
  <si>
    <t>UI-004</t>
  </si>
  <si>
    <t>My Tasks</t>
  </si>
  <si>
    <t>/my-tasks</t>
  </si>
  <si>
    <t>Car Puller</t>
  </si>
  <si>
    <t>Show assigned tasks</t>
  </si>
  <si>
    <t>TaskCard,TaskFilters</t>
  </si>
  <si>
    <t>UI-005</t>
  </si>
  <si>
    <t>Task List</t>
  </si>
  <si>
    <t>Manage/search all tenant tasks</t>
  </si>
  <si>
    <t>TaskTable,TaskFilters</t>
  </si>
  <si>
    <t>UI-006</t>
  </si>
  <si>
    <t>Create Task</t>
  </si>
  <si>
    <t>/tasks/new</t>
  </si>
  <si>
    <t>Create work order and assign car puller</t>
  </si>
  <si>
    <t>CreateTaskForm,FileUploader</t>
  </si>
  <si>
    <t>IAM-034,IAM-039</t>
  </si>
  <si>
    <t>UI-007</t>
  </si>
  <si>
    <t>Task Detail</t>
  </si>
  <si>
    <t>/tasks/[id]</t>
  </si>
  <si>
    <t>All with access</t>
  </si>
  <si>
    <t>View/update task and timeline</t>
  </si>
  <si>
    <t>TaskDetail,TaskTimeline,StatusActions</t>
  </si>
  <si>
    <t>IAM-035,IAM-042</t>
  </si>
  <si>
    <t>UI-008</t>
  </si>
  <si>
    <t>Execution Screen</t>
  </si>
  <si>
    <t>/my-tasks/[id]</t>
  </si>
  <si>
    <t>Mobile-first execution controls</t>
  </si>
  <si>
    <t>TaskUpdateComposer,StatusActions</t>
  </si>
  <si>
    <t>UI-009</t>
  </si>
  <si>
    <t>Users</t>
  </si>
  <si>
    <t>Invite/manage tenant users</t>
  </si>
  <si>
    <t>UserTable,InviteUserModal</t>
  </si>
  <si>
    <t>UI-010</t>
  </si>
  <si>
    <t>Company Settings</t>
  </si>
  <si>
    <t>/settings/company</t>
  </si>
  <si>
    <t>Update transporter profile</t>
  </si>
  <si>
    <t>CompanySettingsForm</t>
  </si>
  <si>
    <t>UI-011</t>
  </si>
  <si>
    <t>Notification Bell</t>
  </si>
  <si>
    <t>Global Topbar</t>
  </si>
  <si>
    <t>Show alerts and read status</t>
  </si>
  <si>
    <t>NotificationBell</t>
  </si>
  <si>
    <t>ID</t>
  </si>
  <si>
    <t>Type</t>
  </si>
  <si>
    <t>Risk / Decision</t>
  </si>
  <si>
    <t>Impact</t>
  </si>
  <si>
    <t>Mitigation / Decision</t>
  </si>
  <si>
    <t>R-001</t>
  </si>
  <si>
    <t>Risk</t>
  </si>
  <si>
    <t>Cross-tenant data leak</t>
  </si>
  <si>
    <t>Use RLS, backend tenant middleware, automated tests</t>
  </si>
  <si>
    <t>Open</t>
  </si>
  <si>
    <t>R-002</t>
  </si>
  <si>
    <t>Large video uploads fail or cost too much</t>
  </si>
  <si>
    <t>Use signed URLs, file limits, compression guidance, storage lifecycle rules</t>
  </si>
  <si>
    <t>R-003</t>
  </si>
  <si>
    <t>Unclear payment ownership between transporter and car puller</t>
  </si>
  <si>
    <t>Start with manual paid status; design Stripe later</t>
  </si>
  <si>
    <t>R-004</t>
  </si>
  <si>
    <t>Scope creep before MVP</t>
  </si>
  <si>
    <t>Freeze Sprint 1-8 as MVP; push GPS/payments/realtime to future</t>
  </si>
  <si>
    <t>D-001</t>
  </si>
  <si>
    <t>Decision</t>
  </si>
  <si>
    <t>Use single database with tenant_id</t>
  </si>
  <si>
    <t>Best MVP balance; use RLS for isolation</t>
  </si>
  <si>
    <t>Architecture</t>
  </si>
  <si>
    <t>Accepted</t>
  </si>
  <si>
    <t>D-002</t>
  </si>
  <si>
    <t>Use timestamptz for all dates</t>
  </si>
  <si>
    <t>Avoid timezone bugs; store UTC, display local</t>
  </si>
  <si>
    <t>Checklist Item</t>
  </si>
  <si>
    <t>Required for MVP?</t>
  </si>
  <si>
    <t>Evidence / Link</t>
  </si>
  <si>
    <t>RLS tested for tenant isolation</t>
  </si>
  <si>
    <t>Yes</t>
  </si>
  <si>
    <t>Register/login/logout working in production</t>
  </si>
  <si>
    <t>Transporter can create and assign a task</t>
  </si>
  <si>
    <t>Execution</t>
  </si>
  <si>
    <t>Car puller can accept/start/upload/complete</t>
  </si>
  <si>
    <t>Uploads</t>
  </si>
  <si>
    <t>PDF/image/video uploads work</t>
  </si>
  <si>
    <t>Task assignment notification works</t>
  </si>
  <si>
    <t>No</t>
  </si>
  <si>
    <t>E2E MVP flow passes</t>
  </si>
  <si>
    <t>Frontend deployed with prod env vars</t>
  </si>
  <si>
    <t>Backend deployed with SSL and CORS</t>
  </si>
  <si>
    <t>Docs</t>
  </si>
  <si>
    <t>User guide created</t>
  </si>
  <si>
    <t>IAM-071</t>
  </si>
  <si>
    <t>Developer Automation</t>
  </si>
  <si>
    <t>Establish Excel-driven Codex agent foundation</t>
  </si>
  <si>
    <t>Establish repository instructions, tracker rules, and the package location for an Excel-driven Codex task agent.</t>
  </si>
  <si>
    <t>AGENTS.md contains the agent rules; Excel temporary files are ignored; the workbook contains IAM-071 and CODE-041; completed tasks are not selected again; no commits occur without a task ID.</t>
  </si>
  <si>
    <t>Sprint 10</t>
  </si>
  <si>
    <t>IAM-001,IAM-003</t>
  </si>
  <si>
    <t>AGENTS.md; .gitignore; planning/IAMONIT_Full_Project_Control_Workbook.xlsx</t>
  </si>
  <si>
    <t>Every Git commit must begin with the exact related task ID.</t>
  </si>
  <si>
    <t>Repository and workbook rules for the Excel-driven Codex agent are established.</t>
  </si>
  <si>
    <t>CODE-041</t>
  </si>
  <si>
    <t>Tooling</t>
  </si>
  <si>
    <t>task-agent</t>
  </si>
  <si>
    <t>packages/task-agent/src/cli.ts</t>
  </si>
  <si>
    <t>Create read-only workbook reader and eligible-task selector</t>
  </si>
  <si>
    <t>Use ExcelJS to read the Backlog and IntelliJ Coding Tasks sheets. Skip Done, In Progress, Blocked, and Review tasks. Select a Todo task only when all dependencies are Done. Print one selected task and stop without changing the workbook or application code.</t>
  </si>
  <si>
    <t>The CLI identifies exactly one eligible task, respects dependencies, skips completed work, and makes no workbook changes.</t>
  </si>
  <si>
    <t>apps/web/package.json; apps/web/app/layout.tsx; apps/web/tailwind.config.ts</t>
  </si>
  <si>
    <t>apps/api/src/main.ts; apps/api/src/app.module.ts</t>
  </si>
  <si>
    <t>apps/api/src/config/env.ts; apps/web/.env.example</t>
  </si>
  <si>
    <t>apps/web/.eslintrc; apps/api/.eslintrc</t>
  </si>
  <si>
    <t>apps/api/src/modules/auth/dto/register.dto.ts; login.dto.ts</t>
  </si>
  <si>
    <t>apps/web/app/(auth)/login/page.tsx; apps/web/app/(auth)/register/page.tsx</t>
  </si>
  <si>
    <t>apps/api/src/modules/auth/auth.service.ts; tenants.service.ts</t>
  </si>
  <si>
    <t>apps/api/src/modules/auth/auth.controller.ts; jwt.strategy.ts</t>
  </si>
  <si>
    <t>apps/web/lib/auth.ts; apps/web/app/(auth)/*</t>
  </si>
  <si>
    <t>apps/api/src/common/guards/auth.guard.ts; roles.guard.ts</t>
  </si>
  <si>
    <t>apps/api/src/modules/invitations/invitations.controller.ts; invitations.service.ts</t>
  </si>
  <si>
    <t>apps/api/src/modules/invitations/invitations.service.ts</t>
  </si>
  <si>
    <t>apps/api/src/modules/users/users.controller.ts; users.service.ts</t>
  </si>
  <si>
    <t>apps/web/app/(dashboard)/users/page.tsx; components/users/InviteUserModal.tsx</t>
  </si>
  <si>
    <t>apps/web/app/(dashboard)/layout.tsx; components/layout/Sidebar.tsx; Topbar.tsx</t>
  </si>
  <si>
    <t>apps/api/src/modules/tenants/*; apps/web/app/(dashboard)/settings/company/page.tsx</t>
  </si>
  <si>
    <t>apps/api/src/modules/tasks/dto/create-task.dto.ts; update-task-status.dto.ts</t>
  </si>
  <si>
    <t>apps/api/src/modules/tasks/tasks.controller.ts; tasks.service.ts</t>
  </si>
  <si>
    <t>apps/api/src/modules/tasks/tasks.repository.ts</t>
  </si>
  <si>
    <t>apps/api/src/modules/tasks/tasks.service.ts</t>
  </si>
  <si>
    <t>apps/api/src/modules/tasks/task-status.service.ts</t>
  </si>
  <si>
    <t>apps/web/app/(dashboard)/tasks/page.tsx; components/tasks/TaskCard.tsx</t>
  </si>
  <si>
    <t>apps/web/app/(dashboard)/tasks/new/page.tsx; components/tasks/CreateTaskForm.tsx</t>
  </si>
  <si>
    <t>apps/web/app/(dashboard)/tasks/[id]/page.tsx; components/tasks/TaskDetail.tsx</t>
  </si>
  <si>
    <t>apps/api/src/modules/uploads/uploads.controller.ts; uploads.service.ts</t>
  </si>
  <si>
    <t>supabase/migrations/038_files.sql; apps/api/src/modules/uploads/file-metadata.service.ts</t>
  </si>
  <si>
    <t>apps/web/components/uploads/FileUploader.tsx</t>
  </si>
  <si>
    <t>apps/api/src/modules/task-updates/task-updates.controller.ts; service.ts</t>
  </si>
  <si>
    <t>apps/web/components/tasks/TaskTimeline.tsx; TaskUpdateComposer.tsx</t>
  </si>
  <si>
    <t>apps/web/app/(dashboard)/my-tasks/[id]/page.tsx</t>
  </si>
  <si>
    <t>apps/api/src/modules/notifications/notifications.service.ts</t>
  </si>
  <si>
    <t>apps/api/src/modules/notifications/notifications.controller.ts</t>
  </si>
  <si>
    <t>apps/web/components/notifications/NotificationBell.tsx</t>
  </si>
  <si>
    <t>apps/web/app/(dashboard)/page.tsx; components/dashboard/KpiCard.tsx</t>
  </si>
  <si>
    <t>apps/web/app/(dashboard)/my-tasks/page.tsx</t>
  </si>
  <si>
    <t>apps/api/src/modules/tasks/task-query.dto.ts</t>
  </si>
  <si>
    <t>apps/web/components/tasks/TaskFilters.tsx</t>
  </si>
  <si>
    <t>apps/api/test/auth.spec.ts; tenants.spec.ts</t>
  </si>
  <si>
    <t>apps/api/test/tasks.spec.ts; uploads.spec.ts</t>
  </si>
  <si>
    <t>apps/web/__tests__/*</t>
  </si>
  <si>
    <t>apps/api/Dockerfile; railway.json/render.yaml</t>
  </si>
  <si>
    <t>apps/web/components/payments/PaymentPanel.tsx</t>
  </si>
  <si>
    <t>apps/web/lib/realtime.ts; backend events</t>
  </si>
  <si>
    <t>IAM-072</t>
  </si>
  <si>
    <t>Align tracker paths with workspace structure</t>
  </si>
  <si>
    <t>Align legacy backend and frontend file paths in the IAMONIT project tracker with the repository’s pnpm workspace structure.</t>
  </si>
  <si>
    <t>Legacy backend paths use apps/api; legacy frontend paths use apps/web; canonical paths remain unchanged; no formulas, dropdowns, styles, or unrelated tracker content are damaged; remaining invalid path prefixes are reported.</t>
  </si>
  <si>
    <t>planning/IAMONIT_Full_Project_Control_Workbook.xlsx</t>
  </si>
  <si>
    <t>Normalize path-bearing tracker cells only. Do not change descriptive prose, URLs, package names, commands, class names, or task IDs.</t>
  </si>
  <si>
    <t>Tracker file paths match the actual apps/api and apps/web workspace structure.</t>
  </si>
  <si>
    <t>apps/api/src/modules/auth/dto/register.dto.ts</t>
  </si>
  <si>
    <t>apps/api/src/modules/auth/dto/login.dto.ts</t>
  </si>
  <si>
    <t>apps/api/src/modules/auth/auth.controller.ts</t>
  </si>
  <si>
    <t>apps/api/src/modules/auth/auth.service.ts</t>
  </si>
  <si>
    <t>apps/api/src/modules/auth/jwt.strategy.ts</t>
  </si>
  <si>
    <t>apps/api/src/common/guards/auth.guard.ts</t>
  </si>
  <si>
    <t>apps/api/src/common/guards/roles.guard.ts</t>
  </si>
  <si>
    <t>apps/api/src/modules/tenants/tenants.service.ts</t>
  </si>
  <si>
    <t>apps/api/src/modules/users/users.controller.ts</t>
  </si>
  <si>
    <t>apps/api/src/modules/users/users.service.ts</t>
  </si>
  <si>
    <t>apps/api/src/modules/invitations/invitations.controller.ts</t>
  </si>
  <si>
    <t>apps/api/src/modules/tasks/dto/create-task.dto.ts</t>
  </si>
  <si>
    <t>apps/api/src/modules/tasks/tasks.controller.ts</t>
  </si>
  <si>
    <t>apps/api/src/modules/uploads/uploads.controller.ts</t>
  </si>
  <si>
    <t>apps/api/src/modules/uploads/uploads.service.ts</t>
  </si>
  <si>
    <t>apps/api/src/modules/task-updates/task-updates.controller.ts</t>
  </si>
  <si>
    <t>apps/web/app/(auth)/login/page.tsx</t>
  </si>
  <si>
    <t>apps/web/app/(auth)/register/page.tsx</t>
  </si>
  <si>
    <t>apps/web/lib/api.ts</t>
  </si>
  <si>
    <t>apps/web/lib/auth.ts</t>
  </si>
  <si>
    <t>apps/web/components/layout/Sidebar.tsx</t>
  </si>
  <si>
    <t>apps/web/components/layout/Topbar.tsx</t>
  </si>
  <si>
    <t>apps/web/app/(dashboard)/tasks/page.tsx</t>
  </si>
  <si>
    <t>apps/web/app/(dashboard)/tasks/new/page.tsx</t>
  </si>
  <si>
    <t>apps/web/app/(dashboard)/tasks/[id]/page.tsx</t>
  </si>
  <si>
    <t>apps/web/components/tasks/TaskTimeline.tsx</t>
  </si>
  <si>
    <t>apps/api/test/tasks.spec.ts</t>
  </si>
  <si>
    <t>CODE-042</t>
  </si>
  <si>
    <t>packages/task-agent/src/path-normalizer.ts</t>
  </si>
  <si>
    <t>Validate and normalize coding-task file paths</t>
  </si>
  <si>
    <t>Add runtime path normalization and validation to the read-only task agent. Convert known legacy prefixes to canonical workspace paths, reject unsafe paths, preserve already canonical paths, and print both original and normalized task paths.</t>
  </si>
  <si>
    <t>backend paths normalize to apps/api; frontend paths normalize to apps/web; canonical paths remain unchanged; absolute paths and directory traversal are rejected; future files are allowed to be absent; tests cover valid, legacy, unsafe, and multiple-path inputs.</t>
  </si>
  <si>
    <t>IAM-073</t>
  </si>
  <si>
    <t>Add controlled Codex execution pipeline</t>
  </si>
  <si>
    <t>Extend the IAMONIT task-agent so it can generate a task-specific Codex prompt and invoke Codex non-interactively under explicit safety controls.</t>
  </si>
  <si>
    <t>The agent supports a non-mutating plan mode; execution requires an explicit flag; execution is blocked on a dirty working tree or protected branch; Codex runs only inside the repository workspace; results and exit status are captured; the workbook is never modified; no commit or push occurs automatically.</t>
  </si>
  <si>
    <t>IAM-071,IAM-072</t>
  </si>
  <si>
    <t>packages/task-agent/src/prompt-builder.ts; packages/task-agent/src/codex-executor.ts; packages/task-agent/src/git-preflight.ts; packages/task-agent/src/cli.ts</t>
  </si>
  <si>
    <t>Plan mode is the default. Real execution requires explicit user action and must stop at human review.</t>
  </si>
  <si>
    <t>The task-agent can safely prepare and explicitly launch one Codex coding task without committing, pushing, or updating the workbook.</t>
  </si>
  <si>
    <t>CODE-043</t>
  </si>
  <si>
    <t>Build task prompt generation and controlled Codex execution</t>
  </si>
  <si>
    <t>Generate a detailed prompt from the single selected workbook task. Keep plan mode as the default. Add an explicit execution mode that invokes codex exec using Node child_process.spawn without a shell. Pass the prompt through stdin. Use workspace-write sandboxing, disable network access, capture JSONL events and the final assistant message, verify a clean Git working tree, reject protected branches, preserve the workbook checksum, and never commit or push.</t>
  </si>
  <si>
    <t>Plan mode prints the exact generated prompt without invoking Codex; execution requires an explicit flag; dirty repositories and main/master branches are rejected; unsafe or unresolved task paths remain rejected; Codex output and exit code are captured; workbook checksum remains unchanged; no automatic commit, push, or tracker update occurs; unit tests cover prompt creation, argument construction, Git preflight, execution failure, and dry-run behavior.</t>
  </si>
  <si>
    <t>Initialize the Next.js frontend under apps/web using TypeScript, App Router, Tailwind CSS, and ESLint as part of the existing pnpm workspace.</t>
  </si>
  <si>
    <t>apps/web/package.json exists; TypeScript is configured; App Router is configured; Tailwind CSS is configured; ESLint is configured; apps/web/app/layout.tsx exists; apps/web/app/page.tsx exists; the package participates in the existing pnpm workspace; the existing root dev:web command works with the web package; pnpm --filter &lt;web-package&gt; build passes</t>
  </si>
  <si>
    <t>CODE-044</t>
  </si>
  <si>
    <t>web</t>
  </si>
  <si>
    <t>apps/web/package.json; apps/web/app/layout.tsx; apps/web/app/page.tsx</t>
  </si>
  <si>
    <t>Initialize Next.js frontend application</t>
  </si>
  <si>
    <t>Initialize apps/web as a pnpm-managed Next.js application using TypeScript, App Router, Tailwind CSS, and ESLint. Keep the app directory at apps/web/app rather than apps/web/src/app so existing tracker paths remain valid. Inspect the root workspace scripts and choose a package name compatible with dev:web. Preserve the existing monorepo structure.</t>
  </si>
  <si>
    <t>Next.js application exists under apps/web; package participates in the pnpm workspace; layout and home page render; Tailwind and ESLint are configured; root dev:web resolves the package; web build passes.</t>
  </si>
  <si>
    <t>Create the client-side login page UI shell with email and password fields, client-side validation, accessible labels, validation and error messages, loading/disabled-state presentation, and navigation to the registration page. Do not call the backend, store authentication state, create sessions, or redirect to the dashboard. Those behaviors belong to later integration tasks.</t>
  </si>
  <si>
    <t>Login page renders email and password fields; invalid input displays clear validation messages; loading and error presentation states are supported; the submit button has appropriate disabled behavior; and a registration navigation link is available. No backend request, authentication persistence, or dashboard redirect is implemented.</t>
  </si>
  <si>
    <t>Create the client-side registration page UI shell with full name, company name, email, phone, password, required confirm-password, and role-selection fields. Require a minimum of 8 password characters and require password and confirm password to match. Include client-side validation, accessible labels and field-level errors, loading and disabled states, and navigation to /login. Do not call the backend, create an account, store authentication state, create a session or token, persist data, or redirect after submission. Those behaviors belong to later integration tasks.</t>
  </si>
  <si>
    <t>Registration page renders all required fields and role selection; password requires at least 8 characters; confirm password is required and must match password; invalid input displays accessible field-level validation errors; loading and error presentation states are supported; the submit button has appropriate disabled behavior; and navigation to /login is available. No backend call, account creation, session, token, authentication persistence, other persistence, or post-registration redirect is implemented.</t>
  </si>
  <si>
    <t>apps/api/src/config/env.config.ts; apps/api/src/app.module.ts; apps/api/.env.example; apps/web/.env.example</t>
  </si>
  <si>
    <t>Complete environment configuration and validation</t>
  </si>
  <si>
    <t>Validate required API environment variables and fail clearly during startup when required values are missing or invalid. Keep configuration typed and centralized. Add repository-safe .env.example documentation for required API variables and add frontend public-environment examples or conventions where needed, using the appropriate NEXT_PUBLIC_ prefix for browser-exposed values. Do not add real credentials, tokens, passwords, URLs containing secrets, or production values. Do not provision Supabase or perform database migrations in this task.</t>
  </si>
  <si>
    <t>Required API environment values are validated; invalid or missing required values produce a clear startup failure; API and frontend example-environment files document required variables; no secrets are committed; existing development configuration continues to work; TypeScript, lint, and relevant tests pass.</t>
  </si>
  <si>
    <t>CODE-045</t>
  </si>
  <si>
    <t>supabase</t>
  </si>
  <si>
    <t>Initialize local Supabase configuration</t>
  </si>
  <si>
    <t>Initialize repository-local Supabase configuration without secrets. Create supabase/config.toml using safe local-development settings and the standard migration directory expected by the project. Do not provision a hosted Supabase project, access credentials, configure production values, or create database migrations. Hosted-project creation, connection-string configuration, database reachability, and external connection verification remain manual IAM-006 completion requirements.</t>
  </si>
  <si>
    <t>supabase/config.toml exists; it contains no credentials, tokens, passwords, or production secrets; local Supabase project and migration discovery settings are configured; the repository structure supports the documented local migration workflow; configuration syntax is valid; and no hosted Supabase project or database migration is created.</t>
  </si>
  <si>
    <t>CODE-046</t>
  </si>
  <si>
    <t>Create reusable audit trigger migration</t>
  </si>
  <si>
    <t>Create an ordered PostgreSQL migration that defines reusable audit timestamp behavior for IAMONIT tables. Define a reusable trigger function that sets updated_at to the current timestamp whenever a row is updated. Use timestamptz for created_at and updated_at conventions. Keep the migration compatible with Supabase PostgreSQL and safe to apply through the existing local migration workflow. Do not create tenants, app_users, authentication endpoints, or unrelated tables in this task. Do not apply the migration to the hosted Supabase project automatically.</t>
  </si>
  <si>
    <t>supabase/migrations/20260804164436_audit_trigger.sql exists; it defines a reusable PostgreSQL updated_at trigger function; audit timestamp conventions use timestamptz; the SQL is valid and safely ordered; the migration applies successfully to the local Supabase database; local verification confirms that a table using the trigger receives a changed updated_at value after an update; no unrelated tables are created; and no hosted-project migration is applied.</t>
  </si>
  <si>
    <t>supabase/migrations/20260804164436_audit_trigger.sql</t>
  </si>
  <si>
    <t>supabase/migrations/20260804165923_create_tenants.sql</t>
  </si>
  <si>
    <t>Create one ordered Supabase PostgreSQL migration for public.tenants. Define id
as uuid primary key with default gen_random_uuid(); define name as text, required,
and unique; define status as text, required, with default 'active'; and define
created_by and updated_by as nullable uuid columns without foreign keys at this
stage.
Follow the IAM-007 audit convention by defining created_at and updated_at as
timestamptz NOT NULL DEFAULT now() and attach a BEFORE UPDATE trigger that
executes public.set_updated_at().
Enable row-level security on public.tenants, but do not create tenant-access
policies because policy implementation belongs to IAM-014. Do not create or
depend on app_users, memberships, profiles, authentication endpoints, API code,
or other application files.
Apply and verify the migration only against the local Supabase database. Do not
apply it to the hosted Supabase project.</t>
  </si>
  <si>
    <t>The timestamped migration
supabase/migrations/20260804165923_create_tenants.sql creates public.tenants
with id, name, status, created_at, updated_at, created_by, and updated_by.
id is a uuid primary key with default gen_random_uuid(); name is required and
unique; status is required and defaults to 'active'; created_by and updated_by
are nullable uuid columns without foreign keys; created_at and updated_at use
timestamptz NOT NULL DEFAULT now().
A BEFORE UPDATE trigger invokes public.set_updated_at(); row-level security is
enabled without adding IAM-014 tenant-access policies; the migration applies
successfully to the local Supabase database; a privileged local insert succeeds;
a duplicate tenant name is rejected; updating a tenant changes updated_at; no
app_users, memberships, profiles, API files, or unrelated tables are created;
and no hosted-project migration is applied.</t>
  </si>
  <si>
    <t>CODE-047</t>
  </si>
  <si>
    <t>supabase/migrations/20260804234822_create_app_users.sql</t>
  </si>
  <si>
    <t>Create app_users migration</t>
  </si>
  <si>
    <t>Create one ordered, timestamped Supabase PostgreSQL migration for
public.app_users.
Define id as uuid primary key referencing auth.users(id), with no generated
default and ON DELETE CASCADE, so each Supabase authentication identity has at
most one application profile.
Define tenant_id as uuid NOT NULL referencing public.tenants(id) with
ON DELETE RESTRICT, modeling one tenant per app user.
Define role as text NOT NULL with an exact check constraint allowing only:
- admin
- dispatcher
- car_puller
Define full_name and phone as text NOT NULL. Do not duplicate authentication
email and do not add status, membership, invitation, or separate profile fields.
Add created_at and updated_at as timestamptz NOT NULL DEFAULT now(). Add
created_by and updated_by as nullable uuid columns without foreign keys at this
stage.
Attach a BEFORE UPDATE trigger that executes public.set_updated_at(). Add an
index on tenant_id.
Enable row-level security, but do not create access policies because app-user
and tenant policies belong to IAM-014.
Do not modify authentication, API, frontend, invitation, profile, membership,
or other application files. Apply and verify only against the local Supabase
database. Do not apply the migration to the hosted project.</t>
  </si>
  <si>
    <t>The timestamped migration creates public.app_users with id, tenant_id, role,
full_name, phone, created_at, updated_at, created_by, and updated_by.
id is a uuid primary key referencing auth.users(id), has no generated default,
and uses ON DELETE CASCADE. Inserting an app-user requires an existing auth user,
and duplicate profiles for one authentication identity are rejected.
tenant_id is required, references public.tenants(id), and uses ON DELETE
RESTRICT.
role is required and accepts only admin, dispatcher, or car_puller. Invalid role
values are rejected. full_name and phone are required.
created_at and updated_at use timestamptz NOT NULL DEFAULT now(). created_by and
updated_by are nullable uuid columns without foreign keys.
A BEFORE UPDATE trigger invokes public.set_updated_at(), and updating a profile
changes updated_at. An index exists on tenant_id.
RLS is enabled without adding IAM-014 access policies. The migration applies
successfully to the local Supabase database. Privileged local verification
confirms:
- A valid linked app-user can be inserted.
- An invalid auth-user ID is rejected.
- An invalid tenant ID is rejected.
- A duplicate auth-user ID is rejected.
- An invalid role is rejected.
- updated_at advances after an update.
No membership, invitation, API, frontend, or unrelated tables or files are
created, and no hosted-project migration is applied.</t>
  </si>
  <si>
    <t xml:space="preserve">apps/api/src/modules/auth/jwt.strategy.ts;
apps/api/src/modules/auth/jwt.strategy.spec.ts;
apps/api/src/modules/auth/auth.repository.ts;
apps/api/src/modules/auth/auth.repository.spec.ts;
apps/api/src/modules/auth/auth.types.ts;
apps/api/src/modules/auth/auth.module.ts</t>
  </si>
  <si>
    <t xml:space="preserve">Implement Supabase token verification and authenticated context</t>
  </si>
  <si>
    <t xml:space="preserve">Implement an injectable Supabase access-token verifier through the existing
public Supabase client. Do not mint or verify a separate application JWT and do
not use JWT_SECRET.
Accept an access-token string from the later CODE-007 authentication guard.
Verify it using supabase.auth.getClaims(token). Require successful provider
verification, an unexpired token, the configured Supabase issuer, an audience
containing authenticated, an authenticated Supabase Auth role, and a valid UUID
subject. Reject malformed, expired, wrongly issued, wrongly scoped, or
unverifiable tokens with a safe UnauthorizedException.
Treat the verified subject as the Supabase Auth user ID. Extend AuthRepository
with an authoritative query joining public.app_users and public.tenants. Load
tenant ID, application role, tenant existence, and tenant status from
PostgreSQL. Do not trust JWT metadata for the IAMONIT tenant or application
role.
Require an existing app-user profile, an existing tenant, tenant status exactly
active, and an application role exactly equal to admin, dispatcher, or
car_puller.
Return a typed authenticated context exactly containing:
{
  userId: string;
  tenantId: string;
  role: 'admin' | 'dispatcher' | 'car_puller';
}
Map invalid token or claim validation to 401. Map a missing app-user profile,
missing tenant, or non-active tenant to 403. Map Supabase Auth or PostgreSQL
availability failures to 503. Map invalid stored role/context and unexpected
consistency failures to a safe 500.
Register and export the verifier through AuthModule.
Never expose or log an access token, refresh token, password, anonymous key,
service-role key, JWT secret, provider response body, database URL, or database
connection value.
Token validation is signature-and-claims based. Immediate server-side session
revocation checking is outside this task.
Do not implement bearer-header extraction, an HTTP authentication guard,
request.user attachment, role decorators, role authorization, custom JWT
creation, refresh/logout behavior, controller changes, frontend changes, RLS
changes, hosted Auth calls, or hosted database operations.</t>
  </si>
  <si>
    <t xml:space="preserve">A valid Supabase access token is verified through the existing public Supabase
client and explicitly checked for expiration, configured issuer, authenticated
audience, authenticated Auth role, and valid UUID subject. JWT_SECRET is not
used, and no custom application JWT is created.
The verified subject is used to load current application access by joining
public.app_users and public.tenants. The returned context is exactly
{ userId, tenantId, role }. Tenant ID and application role come from PostgreSQL,
not JWT metadata.
Invalid, malformed, expired, wrongly issued, wrongly scoped, or unverifiable
tokens return a safe 401.
A missing app-user profile, missing tenant, or non-active tenant returns 403.
Supabase Auth or PostgreSQL unavailability returns 503. An invalid stored
application role or unexpected consistency failure returns a safe 500.
Tests cover:
- Valid token verification and context return
- Correct subject-to-userId mapping
- Database-derived tenant and role
- admin, dispatcher, and car_puller roles
- Missing or malformed token input
- Invalid or expired token
- Wrong issuer
- Wrong audience
- Missing or malformed subject
- Missing app-user profile
- Missing tenant
- Non-active tenant
- Invalid stored role
- Supabase availability failure
- PostgreSQL availability failure
- Safe unexpected failures
- Absence of tokens, secrets, provider bodies, and database URLs from errors
  and logs
Only the six authorized CODE-006 source/test/module/type paths are modified.
No guard, request.user attachment, role authorization, controller, frontend,
RLS policy, hosted Auth operation, or hosted database operation is created.</t>
  </si>
  <si>
    <t xml:space="preserve">apps/api/src/common/guards/auth.guard.ts;
apps/api/src/common/guards/auth.guard.spec.ts</t>
  </si>
  <si>
    <t xml:space="preserve">Create bearer authentication guard</t>
  </si>
  <si>
    <t xml:space="preserve">Implement an injectable NestJS CanActivate guard.
Read the HTTP Authorization header from the request. Require exactly one
Bearer access token using the case-insensitive Bearer authentication scheme.
Reject these cases with a safe UnauthorizedException:
- Missing Authorization header
- Non-string Authorization header
- Empty bearer token
- Unsupported authentication scheme
- Malformed header
- Multiple credential values
Pass only the extracted access-token string to the Supabase token verifier
implemented by CODE-006. Do not decode, verify, or inspect JWT claims directly
inside the guard.
After successful verification, attach the returned authenticated context to:
request.user
The attached value must be exactly:
{
  userId: string;
  tenantId: string;
  role: 'admin' | 'dispatcher' | 'car_puller';
}
Return true only after request.user has been populated.
Preserve the verifier's safe 401, 403, 500, and 503 exceptions without exposing
provider details.
Do not log or expose the Authorization header, token, password, access token,
refresh token, anonymous key, service-role key, JWT secret, provider response,
or database value.
Do not perform:
- Supabase calls directly
- PostgreSQL queries
- JWT decoding or cryptography
- Application-role authorization
- Controller changes
- Global guard registration
- Frontend changes
- RLS changes
- Hosted operations
CODE-008 remains responsible for @Roles metadata and role authorization.</t>
  </si>
  <si>
    <t xml:space="preserve">- A valid Bearer token is passed exactly once to the CODE-006 verifier.
- Successful verification attaches exactly { userId, tenantId, role } to
  request.user and returns true.
- A missing token returns 401.
- A malformed Authorization header returns 401.
- Unsupported authentication schemes return 401.
- Empty or multiple credentials return 401.
- Verifier exceptions propagate safely.
- Tests confirm tokens and secrets never appear in errors or logs.
- Only auth.guard.ts and auth.guard.spec.ts are modified.
- No role comparison, database access, Supabase access, JWT verification,
  controller change, frontend change, or hosted operation is implemented.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</si>
</sst>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 yyyy"/>
    <numFmt numFmtId="165" formatCode="mmm\ d"/>
  </numFmts>
  <fonts count="8" x14ac:knownFonts="1">
    <font>
      <sz val="11"/>
      <color theme="1"/>
      <name val="Calibri"/>
      <family val="2"/>
      <scheme val="minor"/>
    </font>
    <font>
      <b/>
      <sz val="20"/>
      <color rgb="FFFFFFFF"/>
      <name val="Calibri"/>
      <family val="2"/>
    </font>
    <font>
      <i/>
      <sz val="11"/>
      <color rgb="FF1F1F1F"/>
      <name val="Calibri"/>
      <family val="2"/>
    </font>
    <font>
      <b/>
      <sz val="14"/>
      <color rgb="FFFFFFFF"/>
      <name val="Calibri"/>
      <family val="2"/>
    </font>
    <font>
      <b/>
      <sz val="12"/>
      <color rgb="FFFFFFFF"/>
      <name val="Calibri"/>
      <family val="2"/>
    </font>
    <font>
      <b/>
      <sz val="18"/>
      <color rgb="FF0F766E"/>
      <name val="Calibri"/>
      <family val="2"/>
    </font>
    <font>
      <b/>
      <sz val="11"/>
      <color rgb="FFFFFFFF"/>
      <name val="Calibri"/>
      <family val="2"/>
    </font>
    <font>
      <sz val="11"/>
      <color rgb="FF0F766E"/>
      <name val="Calibri"/>
      <family val="2"/>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0F766E"/>
      </patternFill>
    </fill>
    <fill>
      <patternFill patternType="solid">
        <fgColor rgb="FF1F4E78"/>
      </patternFill>
    </fill>
    <fill>
      <patternFill patternType="solid">
        <fgColor rgb="FF7030A0"/>
      </patternFill>
    </fill>
    <fill>
      <patternFill patternType="solid">
        <fgColor theme="3" tint="0.39997558519241921"/>
        <bgColor indexed="64"/>
      </patternFill>
    </fill>
  </fills>
  <borders count="3">
    <border>
      <left/>
      <right/>
      <top/>
      <bottom/>
      <diagonal/>
    </border>
    <border>
      <left/>
      <right/>
      <top/>
      <bottom style="medium">
        <color rgb="FF1F4E78"/>
      </bottom>
      <diagonal/>
    </border>
    <border>
      <left/>
      <right/>
      <top/>
      <bottom style="thin">
        <color rgb="FFD9E1F2"/>
      </bottom>
      <diagonal/>
    </border>
  </borders>
  <cellStyleXfs count="1">
    <xf numFmtId="0" fontId="0" fillId="0" borderId="0"/>
  </cellStyleXfs>
  <cellXfs count="19">
    <xf numFmtId="0" fontId="0" fillId="0" borderId="0" xfId="0"/>
    <xf numFmtId="0" fontId="6" fillId="6" borderId="0" xfId="0" applyFont="1" applyFill="1"/>
    <xf numFmtId="0" fontId="6" fillId="4" borderId="0" xfId="0" applyFont="1" applyFill="1"/>
    <xf numFmtId="9" fontId="0" fillId="0" borderId="0" xfId="0" applyNumberFormat="1"/>
    <xf numFmtId="0" fontId="6" fillId="5" borderId="1" xfId="0" applyFont="1" applyFill="1" applyBorder="1" applyAlignment="1">
      <alignment horizontal="center" vertical="center" wrapText="1"/>
    </xf>
    <xf numFmtId="0" fontId="0" fillId="0" borderId="2" xfId="0" applyBorder="1" applyAlignment="1">
      <alignment vertical="top" wrapText="1"/>
    </xf>
    <xf numFmtId="164" fontId="0" fillId="0" borderId="2" xfId="0" applyNumberFormat="1" applyBorder="1" applyAlignment="1">
      <alignment vertical="top" wrapText="1"/>
    </xf>
    <xf numFmtId="165" fontId="0" fillId="0" borderId="2" xfId="0" applyNumberFormat="1" applyBorder="1" applyAlignment="1">
      <alignment vertical="top" wrapText="1"/>
    </xf>
    <xf numFmtId="0" fontId="7" fillId="4" borderId="2" xfId="0" applyFont="1" applyFill="1" applyBorder="1" applyAlignment="1">
      <alignment vertical="top" wrapText="1"/>
    </xf>
    <xf numFmtId="0" fontId="0" fillId="7" borderId="2" xfId="0" applyFill="1" applyBorder="1" applyAlignment="1">
      <alignment vertical="top" wrapText="1"/>
    </xf>
    <xf numFmtId="164" fontId="0" fillId="7" borderId="2" xfId="0" applyNumberFormat="1" applyFill="1" applyBorder="1" applyAlignment="1">
      <alignment vertical="top" wrapText="1"/>
    </xf>
    <xf numFmtId="0" fontId="0" fillId="7" borderId="0" xfId="0" applyFill="1"/>
    <xf numFmtId="0" fontId="0" fillId="0" borderId="0" xfId="0" applyAlignment="1">
      <alignment vertical="top" wrapText="1"/>
    </xf>
    <xf numFmtId="0" fontId="0" fillId="0" borderId="0" xfId="0"/>
    <xf numFmtId="0" fontId="2" fillId="3" borderId="0" xfId="0" applyFont="1" applyFill="1" applyAlignment="1">
      <alignment horizontal="center"/>
    </xf>
    <xf numFmtId="0" fontId="3" fillId="4" borderId="0" xfId="0" applyFont="1" applyFill="1"/>
    <xf numFmtId="0" fontId="1" fillId="2" borderId="0" xfId="0" applyFont="1" applyFill="1" applyAlignment="1">
      <alignment horizontal="center"/>
    </xf>
    <xf numFmtId="0" fontId="5" fillId="0" borderId="0" xfId="0" applyFont="1" applyAlignment="1">
      <alignment horizontal="center"/>
    </xf>
    <xf numFmtId="0" fontId="4" fillId="5" borderId="0" xfId="0" applyFont="1" applyFill="1"/>
  </cellXfs>
  <cellStyles count="1">
    <cellStyle name="Normal" xfId="0" builtinId="0"/>
  </cellStyles>
  <dxfs count="30">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Work Status</a:t>
            </a:r>
          </a:p>
        </c:rich>
      </c:tx>
      <c:overlay val="1"/>
    </c:title>
    <c:autoTitleDeleted val="0"/>
    <c:plotArea>
      <c:layout/>
      <c:doughnutChart>
        <c:varyColors val="1"/>
        <c:ser>
          <c:idx val="0"/>
          <c:order val="0"/>
          <c:tx>
            <c:strRef>
              <c:f>Dashboard!$I$11</c:f>
              <c:strCache>
                <c:ptCount val="1"/>
                <c:pt idx="0">
                  <c:v>Count</c:v>
                </c:pt>
              </c:strCache>
            </c:strRef>
          </c:tx>
          <c:spPr>
            <a:ln>
              <a:prstDash val="solid"/>
            </a:ln>
          </c:spPr>
          <c:cat>
            <c:strRef>
              <c:f>Dashboard!$H$12:$H$16</c:f>
              <c:strCache>
                <c:ptCount val="5"/>
                <c:pt idx="0">
                  <c:v>Todo</c:v>
                </c:pt>
                <c:pt idx="1">
                  <c:v>In Progress</c:v>
                </c:pt>
                <c:pt idx="2">
                  <c:v>Blocked</c:v>
                </c:pt>
                <c:pt idx="3">
                  <c:v>Review</c:v>
                </c:pt>
                <c:pt idx="4">
                  <c:v>Done</c:v>
                </c:pt>
              </c:strCache>
            </c:strRef>
          </c:cat>
          <c:val>
            <c:numRef>
              <c:f>Dashboard!$I$12:$I$16</c:f>
              <c:numCache>
                <c:formatCode>General</c:formatCode>
                <c:ptCount val="5"/>
                <c:pt idx="0">
                  <c:v>61</c:v>
                </c:pt>
                <c:pt idx="1">
                  <c:v>1</c:v>
                </c:pt>
                <c:pt idx="2">
                  <c:v>0</c:v>
                </c:pt>
                <c:pt idx="3">
                  <c:v>0</c:v>
                </c:pt>
                <c:pt idx="4">
                  <c:v>11</c:v>
                </c:pt>
              </c:numCache>
            </c:numRef>
          </c:val>
          <c:extLst>
            <c:ext xmlns:c16="http://schemas.microsoft.com/office/drawing/2014/chart" uri="{C3380CC4-5D6E-409C-BE32-E72D297353CC}">
              <c16:uniqueId val="{00000000-049E-2048-8AA2-4D270F9C9135}"/>
            </c:ext>
          </c:extLst>
        </c:ser>
        <c:dLbls>
          <c:showLegendKey val="0"/>
          <c:showVal val="0"/>
          <c:showCatName val="0"/>
          <c:showSerName val="0"/>
          <c:showPercent val="0"/>
          <c:showBubbleSize val="0"/>
          <c:showLeaderLines val="1"/>
        </c:dLbls>
        <c:firstSliceAng val="0"/>
        <c:holeSize val="10"/>
      </c:doughnutChart>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0</xdr:colOff>
      <xdr:row>17</xdr:row>
      <xdr:rowOff>0</xdr:rowOff>
    </xdr:from>
    <xdr:ext cx="2880000" cy="252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H18"/>
  <sheetViews>
    <sheetView showGridLines="0" workbookViewId="0">
      <selection activeCell="A5" sqref="A5:H6"/>
    </sheetView>
  </sheetViews>
  <sheetFormatPr baseColWidth="10" defaultColWidth="8.83203125" defaultRowHeight="15" x14ac:dyDescent="0.2"/>
  <cols>
    <col min="1" max="1" width="16" customWidth="1"/>
    <col min="2" max="8" width="18" customWidth="1"/>
  </cols>
  <sheetData>
    <row r="1" spans="1:8" ht="26" x14ac:dyDescent="0.3">
      <c r="A1" s="16" t="s">
        <v>0</v>
      </c>
      <c r="B1" s="13"/>
      <c r="C1" s="13"/>
      <c r="D1" s="13"/>
      <c r="E1" s="13"/>
      <c r="F1" s="13"/>
      <c r="G1" s="13"/>
      <c r="H1" s="13"/>
    </row>
    <row r="2" spans="1:8" x14ac:dyDescent="0.2">
      <c r="A2" s="14" t="s">
        <v>1</v>
      </c>
      <c r="B2" s="13"/>
      <c r="C2" s="13"/>
      <c r="D2" s="13"/>
      <c r="E2" s="13"/>
      <c r="F2" s="13"/>
      <c r="G2" s="13"/>
      <c r="H2" s="13"/>
    </row>
    <row r="4" spans="1:8" ht="19" x14ac:dyDescent="0.25">
      <c r="A4" s="15" t="s">
        <v>2</v>
      </c>
      <c r="B4" s="13"/>
      <c r="C4" s="13"/>
      <c r="D4" s="13"/>
      <c r="E4" s="13"/>
      <c r="F4" s="13"/>
      <c r="G4" s="13"/>
      <c r="H4" s="13"/>
    </row>
    <row r="5" spans="1:8" x14ac:dyDescent="0.2">
      <c r="A5" s="12" t="s">
        <v>3</v>
      </c>
      <c r="B5" s="13"/>
      <c r="C5" s="13"/>
      <c r="D5" s="13"/>
      <c r="E5" s="13"/>
      <c r="F5" s="13"/>
      <c r="G5" s="13"/>
      <c r="H5" s="13"/>
    </row>
    <row r="6" spans="1:8" x14ac:dyDescent="0.2">
      <c r="A6" s="13"/>
      <c r="B6" s="13"/>
      <c r="C6" s="13"/>
      <c r="D6" s="13"/>
      <c r="E6" s="13"/>
      <c r="F6" s="13"/>
      <c r="G6" s="13"/>
      <c r="H6" s="13"/>
    </row>
    <row r="8" spans="1:8" ht="19" x14ac:dyDescent="0.25">
      <c r="A8" s="15" t="s">
        <v>4</v>
      </c>
      <c r="B8" s="13"/>
      <c r="C8" s="13"/>
      <c r="D8" s="13"/>
      <c r="E8" s="13"/>
      <c r="F8" s="13"/>
      <c r="G8" s="13"/>
      <c r="H8" s="13"/>
    </row>
    <row r="9" spans="1:8" x14ac:dyDescent="0.2">
      <c r="A9" s="12" t="s">
        <v>5</v>
      </c>
      <c r="B9" s="13"/>
      <c r="C9" s="13"/>
      <c r="D9" s="13"/>
      <c r="E9" s="13"/>
      <c r="F9" s="13"/>
      <c r="G9" s="13"/>
      <c r="H9" s="13"/>
    </row>
    <row r="10" spans="1:8" x14ac:dyDescent="0.2">
      <c r="A10" s="13"/>
      <c r="B10" s="13"/>
      <c r="C10" s="13"/>
      <c r="D10" s="13"/>
      <c r="E10" s="13"/>
      <c r="F10" s="13"/>
      <c r="G10" s="13"/>
      <c r="H10" s="13"/>
    </row>
    <row r="12" spans="1:8" ht="19" x14ac:dyDescent="0.25">
      <c r="A12" s="15" t="s">
        <v>6</v>
      </c>
      <c r="B12" s="13"/>
      <c r="C12" s="13"/>
      <c r="D12" s="13"/>
      <c r="E12" s="13"/>
      <c r="F12" s="13"/>
      <c r="G12" s="13"/>
      <c r="H12" s="13"/>
    </row>
    <row r="13" spans="1:8" x14ac:dyDescent="0.2">
      <c r="A13" s="12" t="s">
        <v>7</v>
      </c>
      <c r="B13" s="13"/>
      <c r="C13" s="13"/>
      <c r="D13" s="13"/>
      <c r="E13" s="13"/>
      <c r="F13" s="13"/>
      <c r="G13" s="13"/>
      <c r="H13" s="13"/>
    </row>
    <row r="14" spans="1:8" x14ac:dyDescent="0.2">
      <c r="A14" s="13"/>
      <c r="B14" s="13"/>
      <c r="C14" s="13"/>
      <c r="D14" s="13"/>
      <c r="E14" s="13"/>
      <c r="F14" s="13"/>
      <c r="G14" s="13"/>
      <c r="H14" s="13"/>
    </row>
    <row r="16" spans="1:8" ht="19" x14ac:dyDescent="0.25">
      <c r="A16" s="15" t="s">
        <v>8</v>
      </c>
      <c r="B16" s="13"/>
      <c r="C16" s="13"/>
      <c r="D16" s="13"/>
      <c r="E16" s="13"/>
      <c r="F16" s="13"/>
      <c r="G16" s="13"/>
      <c r="H16" s="13"/>
    </row>
    <row r="17" spans="1:8" x14ac:dyDescent="0.2">
      <c r="A17" s="12" t="s">
        <v>9</v>
      </c>
      <c r="B17" s="13"/>
      <c r="C17" s="13"/>
      <c r="D17" s="13"/>
      <c r="E17" s="13"/>
      <c r="F17" s="13"/>
      <c r="G17" s="13"/>
      <c r="H17" s="13"/>
    </row>
    <row r="18" spans="1:8" x14ac:dyDescent="0.2">
      <c r="A18" s="13"/>
      <c r="B18" s="13"/>
      <c r="C18" s="13"/>
      <c r="D18" s="13"/>
      <c r="E18" s="13"/>
      <c r="F18" s="13"/>
      <c r="G18" s="13"/>
      <c r="H18" s="13"/>
    </row>
  </sheetData>
  <mergeCells count="10">
    <mergeCell ref="A1:H1"/>
    <mergeCell ref="A5:H6"/>
    <mergeCell ref="A8:H8"/>
    <mergeCell ref="A12:H12"/>
    <mergeCell ref="A4:H4"/>
    <mergeCell ref="A17:H18"/>
    <mergeCell ref="A9:H10"/>
    <mergeCell ref="A13:H14"/>
    <mergeCell ref="A2:H2"/>
    <mergeCell ref="A16:H16"/>
  </mergeCells>
  <pageMargins left="0.75" right="0.75" top="1" bottom="1" header="0.5" footer="0.5"/>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I20"/>
  <sheetViews>
    <sheetView showGridLines="0" zoomScale="125" workbookViewId="0">
      <selection activeCell="C36" sqref="C36:C37"/>
    </sheetView>
  </sheetViews>
  <sheetFormatPr baseColWidth="10" defaultColWidth="8.83203125" defaultRowHeight="15" x14ac:dyDescent="0.2"/>
  <cols>
    <col min="1" max="1" width="16" customWidth="1"/>
    <col min="2" max="5" width="14" customWidth="1"/>
    <col min="6" max="6" width="16" customWidth="1"/>
    <col min="7" max="7" width="4" customWidth="1"/>
    <col min="8" max="8" width="16" customWidth="1"/>
    <col min="9" max="9" width="14" customWidth="1"/>
  </cols>
  <sheetData>
    <row r="1" spans="1:9" ht="26" x14ac:dyDescent="0.3">
      <c r="A1" s="16" t="s">
        <v>10</v>
      </c>
      <c r="B1" s="13"/>
      <c r="C1" s="13"/>
      <c r="D1" s="13"/>
      <c r="E1" s="13"/>
      <c r="F1" s="13"/>
      <c r="G1" s="13"/>
      <c r="H1" s="13"/>
    </row>
    <row r="2" spans="1:9" x14ac:dyDescent="0.2">
      <c r="A2" s="14" t="s">
        <v>11</v>
      </c>
      <c r="B2" s="13"/>
      <c r="C2" s="13"/>
      <c r="D2" s="13"/>
      <c r="E2" s="13"/>
      <c r="F2" s="13"/>
      <c r="G2" s="13"/>
      <c r="H2" s="13"/>
    </row>
    <row r="4" spans="1:9" ht="16" x14ac:dyDescent="0.2">
      <c r="A4" s="18" t="s">
        <v>12</v>
      </c>
      <c r="B4" s="13"/>
      <c r="D4" s="18" t="s">
        <v>13</v>
      </c>
      <c r="E4" s="13"/>
      <c r="G4" s="18" t="s">
        <v>14</v>
      </c>
      <c r="H4" s="13"/>
    </row>
    <row r="5" spans="1:9" ht="24" x14ac:dyDescent="0.3">
      <c r="A5" s="17">
        <f>COUNTA(Backlog!A2:A500)</f>
        <v>70</v>
      </c>
      <c r="B5" s="13"/>
      <c r="D5" s="17">
        <f>COUNTIF(Backlog!F2:F500,"Done")</f>
        <v>11</v>
      </c>
      <c r="E5" s="13"/>
      <c r="G5" s="17">
        <f>COUNTIF(Backlog!F2:F500,"In Progress")</f>
        <v>1</v>
      </c>
      <c r="H5" s="13"/>
    </row>
    <row r="7" spans="1:9" ht="16" x14ac:dyDescent="0.2">
      <c r="A7" s="18" t="s">
        <v>15</v>
      </c>
      <c r="B7" s="13"/>
      <c r="D7" s="18" t="s">
        <v>16</v>
      </c>
      <c r="E7" s="13"/>
      <c r="G7" s="18" t="s">
        <v>17</v>
      </c>
      <c r="H7" s="13"/>
    </row>
    <row r="8" spans="1:9" ht="24" x14ac:dyDescent="0.3">
      <c r="A8" s="17">
        <f>COUNTIF(Backlog!F2:F500,"Blocked")</f>
        <v>0</v>
      </c>
      <c r="B8" s="13"/>
      <c r="D8" s="17">
        <f>SUM(Backlog!E2:E500)</f>
        <v>369</v>
      </c>
      <c r="E8" s="13"/>
      <c r="G8" s="17">
        <f>SUMIF(Backlog!F2:F500,"Done",Backlog!E2:E500)</f>
        <v>45</v>
      </c>
      <c r="H8" s="13"/>
    </row>
    <row r="11" spans="1:9" x14ac:dyDescent="0.2">
      <c r="A11" s="1" t="s">
        <v>18</v>
      </c>
      <c r="B11" s="1" t="s">
        <v>19</v>
      </c>
      <c r="C11" s="1" t="s">
        <v>13</v>
      </c>
      <c r="D11" s="1" t="s">
        <v>15</v>
      </c>
      <c r="E11" s="1" t="s">
        <v>20</v>
      </c>
      <c r="F11" s="1" t="s">
        <v>21</v>
      </c>
      <c r="G11" s="1"/>
      <c r="H11" s="2" t="s">
        <v>22</v>
      </c>
      <c r="I11" s="2" t="s">
        <v>23</v>
      </c>
    </row>
    <row r="12" spans="1:9" x14ac:dyDescent="0.2">
      <c r="A12" t="s">
        <v>24</v>
      </c>
      <c r="B12">
        <f>COUNTIF(Backlog!K:K,A12)</f>
        <v>9</v>
      </c>
      <c r="C12">
        <f>COUNTIFS(Backlog!K:K,A12,Backlog!F:F,"Done")</f>
        <v>8</v>
      </c>
      <c r="D12">
        <f>COUNTIFS(Backlog!K:K,A12,Backlog!F:F,"Blocked")</f>
        <v>0</v>
      </c>
      <c r="E12">
        <f>SUMIF(Backlog!K:K,A12,Backlog!E:E)</f>
        <v>35</v>
      </c>
      <c r="F12" s="3">
        <f t="shared" ref="F12:F20" si="0">IF(B12=0,0,C12/B12)</f>
        <v>0.88888888888888884</v>
      </c>
      <c r="H12" t="s">
        <v>25</v>
      </c>
      <c r="I12">
        <f>COUNTIF(Backlog!F:F,H12)</f>
        <v>61</v>
      </c>
    </row>
    <row r="13" spans="1:9" x14ac:dyDescent="0.2">
      <c r="A13" t="s">
        <v>26</v>
      </c>
      <c r="B13">
        <f>COUNTIF(Backlog!K:K,A13)</f>
        <v>9</v>
      </c>
      <c r="C13">
        <f>COUNTIFS(Backlog!K:K,A13,Backlog!F:F,"Done")</f>
        <v>1</v>
      </c>
      <c r="D13">
        <f>COUNTIFS(Backlog!K:K,A13,Backlog!F:F,"Blocked")</f>
        <v>0</v>
      </c>
      <c r="E13">
        <f>SUMIF(Backlog!K:K,A13,Backlog!E:E)</f>
        <v>47</v>
      </c>
      <c r="F13" s="3">
        <f t="shared" si="0"/>
        <v>0.1111111111111111</v>
      </c>
      <c r="H13" t="s">
        <v>14</v>
      </c>
      <c r="I13">
        <f>COUNTIF(Backlog!F:F,H13)</f>
        <v>1</v>
      </c>
    </row>
    <row r="14" spans="1:9" x14ac:dyDescent="0.2">
      <c r="A14" t="s">
        <v>27</v>
      </c>
      <c r="B14">
        <f>COUNTIF(Backlog!K:K,A14)</f>
        <v>7</v>
      </c>
      <c r="C14">
        <f>COUNTIFS(Backlog!K:K,A14,Backlog!F:F,"Done")</f>
        <v>0</v>
      </c>
      <c r="D14">
        <f>COUNTIFS(Backlog!K:K,A14,Backlog!F:F,"Blocked")</f>
        <v>0</v>
      </c>
      <c r="E14">
        <f>SUMIF(Backlog!K:K,A14,Backlog!E:E)</f>
        <v>31</v>
      </c>
      <c r="F14" s="3">
        <f t="shared" si="0"/>
        <v>0</v>
      </c>
      <c r="H14" t="s">
        <v>15</v>
      </c>
      <c r="I14">
        <f>COUNTIF(Backlog!F:F,H14)</f>
        <v>0</v>
      </c>
    </row>
    <row r="15" spans="1:9" x14ac:dyDescent="0.2">
      <c r="A15" t="s">
        <v>28</v>
      </c>
      <c r="B15">
        <f>COUNTIF(Backlog!K:K,A15)</f>
        <v>10</v>
      </c>
      <c r="C15">
        <f>COUNTIFS(Backlog!K:K,A15,Backlog!F:F,"Done")</f>
        <v>0</v>
      </c>
      <c r="D15">
        <f>COUNTIFS(Backlog!K:K,A15,Backlog!F:F,"Blocked")</f>
        <v>0</v>
      </c>
      <c r="E15">
        <f>SUMIF(Backlog!K:K,A15,Backlog!E:E)</f>
        <v>58</v>
      </c>
      <c r="F15" s="3">
        <f t="shared" si="0"/>
        <v>0</v>
      </c>
      <c r="H15" t="s">
        <v>29</v>
      </c>
      <c r="I15">
        <f>COUNTIF(Backlog!F:F,H15)</f>
        <v>0</v>
      </c>
    </row>
    <row r="16" spans="1:9" x14ac:dyDescent="0.2">
      <c r="A16" t="s">
        <v>30</v>
      </c>
      <c r="B16">
        <f>COUNTIF(Backlog!K:K,A16)</f>
        <v>8</v>
      </c>
      <c r="C16">
        <f>COUNTIFS(Backlog!K:K,A16,Backlog!F:F,"Done")</f>
        <v>0</v>
      </c>
      <c r="D16">
        <f>COUNTIFS(Backlog!K:K,A16,Backlog!F:F,"Blocked")</f>
        <v>0</v>
      </c>
      <c r="E16">
        <f>SUMIF(Backlog!K:K,A16,Backlog!E:E)</f>
        <v>53</v>
      </c>
      <c r="F16" s="3">
        <f t="shared" si="0"/>
        <v>0</v>
      </c>
      <c r="H16" t="s">
        <v>13</v>
      </c>
      <c r="I16">
        <f>COUNTIF(Backlog!F:F,H16)</f>
        <v>11</v>
      </c>
    </row>
    <row r="17" spans="1:6" x14ac:dyDescent="0.2">
      <c r="A17" t="s">
        <v>31</v>
      </c>
      <c r="B17">
        <f>COUNTIF(Backlog!K:K,A17)</f>
        <v>8</v>
      </c>
      <c r="C17">
        <f>COUNTIFS(Backlog!K:K,A17,Backlog!F:F,"Done")</f>
        <v>0</v>
      </c>
      <c r="D17">
        <f>COUNTIFS(Backlog!K:K,A17,Backlog!F:F,"Blocked")</f>
        <v>0</v>
      </c>
      <c r="E17">
        <f>SUMIF(Backlog!K:K,A17,Backlog!E:E)</f>
        <v>34</v>
      </c>
      <c r="F17" s="3">
        <f t="shared" si="0"/>
        <v>0</v>
      </c>
    </row>
    <row r="18" spans="1:6" x14ac:dyDescent="0.2">
      <c r="A18" t="s">
        <v>32</v>
      </c>
      <c r="B18">
        <f>COUNTIF(Backlog!K:K,A18)</f>
        <v>7</v>
      </c>
      <c r="C18">
        <f>COUNTIFS(Backlog!K:K,A18,Backlog!F:F,"Done")</f>
        <v>0</v>
      </c>
      <c r="D18">
        <f>COUNTIFS(Backlog!K:K,A18,Backlog!F:F,"Blocked")</f>
        <v>0</v>
      </c>
      <c r="E18">
        <f>SUMIF(Backlog!K:K,A18,Backlog!E:E)</f>
        <v>47</v>
      </c>
      <c r="F18" s="3">
        <f t="shared" si="0"/>
        <v>0</v>
      </c>
    </row>
    <row r="19" spans="1:6" x14ac:dyDescent="0.2">
      <c r="A19" t="s">
        <v>33</v>
      </c>
      <c r="B19">
        <f>COUNTIF(Backlog!K:K,A19)</f>
        <v>7</v>
      </c>
      <c r="C19">
        <f>COUNTIFS(Backlog!K:K,A19,Backlog!F:F,"Done")</f>
        <v>0</v>
      </c>
      <c r="D19">
        <f>COUNTIFS(Backlog!K:K,A19,Backlog!F:F,"Blocked")</f>
        <v>0</v>
      </c>
      <c r="E19">
        <f>SUMIF(Backlog!K:K,A19,Backlog!E:E)</f>
        <v>27</v>
      </c>
      <c r="F19" s="3">
        <f t="shared" si="0"/>
        <v>0</v>
      </c>
    </row>
    <row r="20" spans="1:6" x14ac:dyDescent="0.2">
      <c r="A20" t="s">
        <v>34</v>
      </c>
      <c r="B20">
        <f>COUNTIF(Backlog!K:K,A20)</f>
        <v>5</v>
      </c>
      <c r="C20">
        <f>COUNTIFS(Backlog!K:K,A20,Backlog!F:F,"Done")</f>
        <v>0</v>
      </c>
      <c r="D20">
        <f>COUNTIFS(Backlog!K:K,A20,Backlog!F:F,"Blocked")</f>
        <v>0</v>
      </c>
      <c r="E20">
        <f>SUMIF(Backlog!K:K,A20,Backlog!E:E)</f>
        <v>26</v>
      </c>
      <c r="F20" s="3">
        <f t="shared" si="0"/>
        <v>0</v>
      </c>
    </row>
  </sheetData>
  <mergeCells count="14">
    <mergeCell ref="A1:H1"/>
    <mergeCell ref="G8:H8"/>
    <mergeCell ref="A8:B8"/>
    <mergeCell ref="A2:H2"/>
    <mergeCell ref="D5:E5"/>
    <mergeCell ref="A5:B5"/>
    <mergeCell ref="G5:H5"/>
    <mergeCell ref="D4:E4"/>
    <mergeCell ref="A4:B4"/>
    <mergeCell ref="G4:H4"/>
    <mergeCell ref="D8:E8"/>
    <mergeCell ref="D7:E7"/>
    <mergeCell ref="A7:B7"/>
    <mergeCell ref="G7:H7"/>
  </mergeCells>
  <pageMargins left="0.75" right="0.75" top="1" bottom="1" header="0.5" footer="0.5"/>
  <pageSetup fitToHeight="0"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P74"/>
  <sheetViews>
    <sheetView showGridLines="0" workbookViewId="0">
      <pane ySplit="1" topLeftCell="A2" activePane="bottomLeft" state="frozen"/>
      <selection pane="bottomLeft" activeCell="F11" sqref="F11"/>
    </sheetView>
  </sheetViews>
  <sheetFormatPr baseColWidth="10" defaultColWidth="8.83203125" defaultRowHeight="15" x14ac:dyDescent="0.2"/>
  <cols>
    <col min="1" max="1" width="12" customWidth="1"/>
    <col min="2" max="2" width="20" customWidth="1"/>
    <col min="3" max="3" width="32" customWidth="1"/>
    <col min="4" max="5" width="12" customWidth="1"/>
    <col min="6" max="6" width="14" customWidth="1"/>
    <col min="7" max="8" width="45" customWidth="1"/>
    <col min="9" max="10" width="14" customWidth="1"/>
    <col min="11" max="12" width="12" customWidth="1"/>
    <col min="13" max="13" width="14" customWidth="1"/>
    <col min="14" max="14" width="22" customWidth="1"/>
    <col min="15" max="15" width="55" customWidth="1"/>
    <col min="16" max="16" width="25" customWidth="1"/>
  </cols>
  <sheetData>
    <row r="1" spans="1:16" ht="16" x14ac:dyDescent="0.2">
      <c r="A1" s="4" t="s">
        <v>35</v>
      </c>
      <c r="B1" s="4" t="s">
        <v>36</v>
      </c>
      <c r="C1" s="4" t="s">
        <v>37</v>
      </c>
      <c r="D1" s="4" t="s">
        <v>38</v>
      </c>
      <c r="E1" s="4" t="s">
        <v>39</v>
      </c>
      <c r="F1" s="4" t="s">
        <v>22</v>
      </c>
      <c r="G1" s="4" t="s">
        <v>40</v>
      </c>
      <c r="H1" s="4" t="s">
        <v>41</v>
      </c>
      <c r="I1" s="4" t="s">
        <v>42</v>
      </c>
      <c r="J1" s="4" t="s">
        <v>43</v>
      </c>
      <c r="K1" s="4" t="s">
        <v>18</v>
      </c>
      <c r="L1" s="4" t="s">
        <v>44</v>
      </c>
      <c r="M1" s="4" t="s">
        <v>45</v>
      </c>
      <c r="N1" s="4" t="s">
        <v>46</v>
      </c>
      <c r="O1" s="4" t="s">
        <v>47</v>
      </c>
      <c r="P1" s="4" t="s">
        <v>48</v>
      </c>
    </row>
    <row r="2" spans="1:16" s="11" customFormat="1" ht="32" x14ac:dyDescent="0.2">
      <c r="A2" s="9" t="s">
        <v>49</v>
      </c>
      <c r="B2" s="9" t="s">
        <v>50</v>
      </c>
      <c r="C2" s="9" t="s">
        <v>51</v>
      </c>
      <c r="D2" s="9" t="s">
        <v>52</v>
      </c>
      <c r="E2" s="9">
        <v>3</v>
      </c>
      <c r="F2" s="9" t="s">
        <v>13</v>
      </c>
      <c r="G2" s="9" t="s">
        <v>53</v>
      </c>
      <c r="H2" s="9" t="s">
        <v>54</v>
      </c>
      <c r="I2" s="9" t="s">
        <v>55</v>
      </c>
      <c r="J2" s="10">
        <v>46153</v>
      </c>
      <c r="K2" s="9" t="s">
        <v>24</v>
      </c>
      <c r="L2" s="9">
        <v>1</v>
      </c>
      <c r="M2" s="10">
        <v>46153</v>
      </c>
      <c r="N2" s="9"/>
      <c r="O2" s="9" t="s">
        <v>56</v>
      </c>
      <c r="P2" s="9"/>
    </row>
    <row r="3" spans="1:16" s="11" customFormat="1" ht="112" x14ac:dyDescent="0.2">
      <c r="A3" s="9" t="s">
        <v>57</v>
      </c>
      <c r="B3" s="9" t="s">
        <v>50</v>
      </c>
      <c r="C3" s="9" t="s">
        <v>58</v>
      </c>
      <c r="D3" s="9" t="s">
        <v>52</v>
      </c>
      <c r="E3" s="9">
        <v>5</v>
      </c>
      <c r="F3" s="9" t="s">
        <v>13</v>
      </c>
      <c r="G3" s="9" t="s">
        <v>1014</v>
      </c>
      <c r="H3" s="9" t="s">
        <v>1015</v>
      </c>
      <c r="I3" s="9" t="s">
        <v>59</v>
      </c>
      <c r="J3" s="10">
        <v>46153</v>
      </c>
      <c r="K3" s="9" t="s">
        <v>24</v>
      </c>
      <c r="L3" s="9">
        <v>2</v>
      </c>
      <c r="M3" s="10">
        <v>46154</v>
      </c>
      <c r="N3" s="9" t="s">
        <v>49</v>
      </c>
      <c r="O3" s="9" t="s">
        <v>920</v>
      </c>
      <c r="P3" s="9"/>
    </row>
    <row r="4" spans="1:16" s="11" customFormat="1" ht="32" x14ac:dyDescent="0.2">
      <c r="A4" s="9" t="s">
        <v>60</v>
      </c>
      <c r="B4" s="9" t="s">
        <v>50</v>
      </c>
      <c r="C4" s="9" t="s">
        <v>61</v>
      </c>
      <c r="D4" s="9" t="s">
        <v>52</v>
      </c>
      <c r="E4" s="9">
        <v>5</v>
      </c>
      <c r="F4" s="9" t="s">
        <v>13</v>
      </c>
      <c r="G4" s="9" t="s">
        <v>62</v>
      </c>
      <c r="H4" s="9" t="s">
        <v>63</v>
      </c>
      <c r="I4" s="9" t="s">
        <v>64</v>
      </c>
      <c r="J4" s="10">
        <v>46153</v>
      </c>
      <c r="K4" s="9" t="s">
        <v>24</v>
      </c>
      <c r="L4" s="9">
        <v>2</v>
      </c>
      <c r="M4" s="10">
        <v>46154</v>
      </c>
      <c r="N4" s="9" t="s">
        <v>49</v>
      </c>
      <c r="O4" s="9" t="s">
        <v>921</v>
      </c>
      <c r="P4" s="9"/>
    </row>
    <row r="5" spans="1:16" ht="32" x14ac:dyDescent="0.2">
      <c r="A5" s="5" t="s">
        <v>65</v>
      </c>
      <c r="B5" s="5" t="s">
        <v>50</v>
      </c>
      <c r="C5" s="5" t="s">
        <v>66</v>
      </c>
      <c r="D5" s="5" t="s">
        <v>67</v>
      </c>
      <c r="E5" s="5">
        <v>3</v>
      </c>
      <c r="F5" s="5" t="s">
        <v>13</v>
      </c>
      <c r="G5" s="5" t="s">
        <v>68</v>
      </c>
      <c r="H5" s="5" t="s">
        <v>69</v>
      </c>
      <c r="I5" s="5" t="s">
        <v>55</v>
      </c>
      <c r="J5" s="6">
        <v>46154</v>
      </c>
      <c r="K5" s="5" t="s">
        <v>24</v>
      </c>
      <c r="L5" s="5">
        <v>1</v>
      </c>
      <c r="M5" s="6">
        <v>46154</v>
      </c>
      <c r="N5" s="5" t="s">
        <v>70</v>
      </c>
      <c r="O5" s="5" t="s">
        <v>922</v>
      </c>
      <c r="P5" s="5"/>
    </row>
    <row r="6" spans="1:16" ht="16" x14ac:dyDescent="0.2">
      <c r="A6" s="5" t="s">
        <v>71</v>
      </c>
      <c r="B6" s="5" t="s">
        <v>50</v>
      </c>
      <c r="C6" s="5" t="s">
        <v>72</v>
      </c>
      <c r="D6" s="5" t="s">
        <v>67</v>
      </c>
      <c r="E6" s="5">
        <v>3</v>
      </c>
      <c r="F6" s="5" t="s">
        <v>25</v>
      </c>
      <c r="G6" s="5" t="s">
        <v>73</v>
      </c>
      <c r="H6" s="5" t="s">
        <v>74</v>
      </c>
      <c r="I6" s="5" t="s">
        <v>55</v>
      </c>
      <c r="J6" s="6">
        <v>46154</v>
      </c>
      <c r="K6" s="5" t="s">
        <v>24</v>
      </c>
      <c r="L6" s="5">
        <v>1</v>
      </c>
      <c r="M6" s="6">
        <v>46154</v>
      </c>
      <c r="N6" s="5" t="s">
        <v>70</v>
      </c>
      <c r="O6" s="5" t="s">
        <v>923</v>
      </c>
      <c r="P6" s="5"/>
    </row>
    <row r="7" spans="1:16" ht="32" x14ac:dyDescent="0.2">
      <c r="A7" s="5" t="s">
        <v>75</v>
      </c>
      <c r="B7" s="5" t="s">
        <v>76</v>
      </c>
      <c r="C7" s="5" t="s">
        <v>77</v>
      </c>
      <c r="D7" s="5" t="s">
        <v>52</v>
      </c>
      <c r="E7" s="5">
        <v>3</v>
      </c>
      <c r="F7" s="5" t="s">
        <v>13</v>
      </c>
      <c r="G7" s="5" t="s">
        <v>78</v>
      </c>
      <c r="H7" s="5" t="s">
        <v>79</v>
      </c>
      <c r="I7" s="5" t="s">
        <v>80</v>
      </c>
      <c r="J7" s="6">
        <v>46155</v>
      </c>
      <c r="K7" s="5" t="s">
        <v>24</v>
      </c>
      <c r="L7" s="5">
        <v>1</v>
      </c>
      <c r="M7" s="6">
        <v>46155</v>
      </c>
      <c r="N7" s="5" t="s">
        <v>65</v>
      </c>
      <c r="O7" s="5" t="s">
        <v>81</v>
      </c>
      <c r="P7" s="5"/>
    </row>
    <row r="8" spans="1:16" ht="32" x14ac:dyDescent="0.2">
      <c r="A8" s="5" t="s">
        <v>82</v>
      </c>
      <c r="B8" s="5" t="s">
        <v>76</v>
      </c>
      <c r="C8" s="5" t="s">
        <v>83</v>
      </c>
      <c r="D8" s="5" t="s">
        <v>67</v>
      </c>
      <c r="E8" s="5">
        <v>5</v>
      </c>
      <c r="F8" s="5" t="s">
        <v>13</v>
      </c>
      <c r="G8" s="5" t="s">
        <v>84</v>
      </c>
      <c r="H8" s="5" t="s">
        <v>85</v>
      </c>
      <c r="I8" s="5" t="s">
        <v>80</v>
      </c>
      <c r="J8" s="6">
        <v>46155</v>
      </c>
      <c r="K8" s="5" t="s">
        <v>24</v>
      </c>
      <c r="L8" s="5">
        <v>2</v>
      </c>
      <c r="M8" s="6">
        <v>46156</v>
      </c>
      <c r="N8" s="5" t="s">
        <v>75</v>
      </c>
      <c r="O8" s="5" t="s">
        <v>86</v>
      </c>
      <c r="P8" s="5"/>
    </row>
    <row r="9" spans="1:16" ht="16" x14ac:dyDescent="0.2">
      <c r="A9" s="5" t="s">
        <v>87</v>
      </c>
      <c r="B9" s="5" t="s">
        <v>88</v>
      </c>
      <c r="C9" s="5" t="s">
        <v>89</v>
      </c>
      <c r="D9" s="5" t="s">
        <v>67</v>
      </c>
      <c r="E9" s="5">
        <v>3</v>
      </c>
      <c r="F9" s="5" t="s">
        <v>13</v>
      </c>
      <c r="G9" s="5" t="s">
        <v>90</v>
      </c>
      <c r="H9" s="5" t="s">
        <v>91</v>
      </c>
      <c r="I9" s="5" t="s">
        <v>64</v>
      </c>
      <c r="J9" s="6">
        <v>46156</v>
      </c>
      <c r="K9" s="5" t="s">
        <v>24</v>
      </c>
      <c r="L9" s="5">
        <v>1</v>
      </c>
      <c r="M9" s="6">
        <v>46156</v>
      </c>
      <c r="N9" s="5" t="s">
        <v>60</v>
      </c>
      <c r="O9" s="5" t="s">
        <v>924</v>
      </c>
      <c r="P9" s="5"/>
    </row>
    <row r="10" spans="1:16" ht="32" x14ac:dyDescent="0.2">
      <c r="A10" s="5" t="s">
        <v>92</v>
      </c>
      <c r="B10" s="5" t="s">
        <v>88</v>
      </c>
      <c r="C10" s="5" t="s">
        <v>93</v>
      </c>
      <c r="D10" s="5" t="s">
        <v>67</v>
      </c>
      <c r="E10" s="5">
        <v>5</v>
      </c>
      <c r="F10" s="5" t="s">
        <v>13</v>
      </c>
      <c r="G10" s="5" t="s">
        <v>94</v>
      </c>
      <c r="H10" s="5" t="s">
        <v>95</v>
      </c>
      <c r="I10" s="5" t="s">
        <v>59</v>
      </c>
      <c r="J10" s="6">
        <v>46156</v>
      </c>
      <c r="K10" s="5" t="s">
        <v>24</v>
      </c>
      <c r="L10" s="5">
        <v>2</v>
      </c>
      <c r="M10" s="6">
        <v>46157</v>
      </c>
      <c r="N10" s="5" t="s">
        <v>57</v>
      </c>
      <c r="O10" s="5" t="s">
        <v>925</v>
      </c>
      <c r="P10" s="5"/>
    </row>
    <row r="11" spans="1:16" ht="32" x14ac:dyDescent="0.2">
      <c r="A11" s="5" t="s">
        <v>96</v>
      </c>
      <c r="B11" s="5" t="s">
        <v>97</v>
      </c>
      <c r="C11" s="5" t="s">
        <v>98</v>
      </c>
      <c r="D11" s="5" t="s">
        <v>52</v>
      </c>
      <c r="E11" s="5">
        <v>5</v>
      </c>
      <c r="F11" s="5" t="s">
        <v>13</v>
      </c>
      <c r="G11" s="5" t="s">
        <v>99</v>
      </c>
      <c r="H11" s="5" t="s">
        <v>100</v>
      </c>
      <c r="I11" s="5" t="s">
        <v>80</v>
      </c>
      <c r="J11" s="6">
        <v>46158</v>
      </c>
      <c r="K11" s="5" t="s">
        <v>26</v>
      </c>
      <c r="L11" s="5">
        <v>1</v>
      </c>
      <c r="M11" s="6">
        <v>46158</v>
      </c>
      <c r="N11" s="5" t="s">
        <v>82</v>
      </c>
      <c r="O11" s="5" t="s">
        <v>101</v>
      </c>
      <c r="P11" s="5"/>
    </row>
    <row r="12" spans="1:16" ht="16" x14ac:dyDescent="0.2">
      <c r="A12" s="5" t="s">
        <v>102</v>
      </c>
      <c r="B12" s="5" t="s">
        <v>97</v>
      </c>
      <c r="C12" s="5" t="s">
        <v>103</v>
      </c>
      <c r="D12" s="5" t="s">
        <v>52</v>
      </c>
      <c r="E12" s="5">
        <v>5</v>
      </c>
      <c r="F12" s="5" t="s">
        <v>13</v>
      </c>
      <c r="G12" s="5" t="s">
        <v>104</v>
      </c>
      <c r="H12" s="5" t="s">
        <v>105</v>
      </c>
      <c r="I12" s="5" t="s">
        <v>80</v>
      </c>
      <c r="J12" s="6">
        <v>46158</v>
      </c>
      <c r="K12" s="5" t="s">
        <v>26</v>
      </c>
      <c r="L12" s="5">
        <v>1</v>
      </c>
      <c r="M12" s="6">
        <v>46158</v>
      </c>
      <c r="N12" s="5" t="s">
        <v>96</v>
      </c>
      <c r="O12" s="5" t="s">
        <v>106</v>
      </c>
      <c r="P12" s="5"/>
    </row>
    <row r="13" spans="1:16" ht="16" x14ac:dyDescent="0.2">
      <c r="A13" s="5" t="s">
        <v>107</v>
      </c>
      <c r="B13" s="5" t="s">
        <v>97</v>
      </c>
      <c r="C13" s="5" t="s">
        <v>108</v>
      </c>
      <c r="D13" s="5" t="s">
        <v>67</v>
      </c>
      <c r="E13" s="5">
        <v>3</v>
      </c>
      <c r="F13" s="5" t="s">
        <v>25</v>
      </c>
      <c r="G13" s="5" t="s">
        <v>109</v>
      </c>
      <c r="H13" s="5" t="s">
        <v>110</v>
      </c>
      <c r="I13" s="5" t="s">
        <v>80</v>
      </c>
      <c r="J13" s="6">
        <v>46159</v>
      </c>
      <c r="K13" s="5" t="s">
        <v>26</v>
      </c>
      <c r="L13" s="5">
        <v>1</v>
      </c>
      <c r="M13" s="6">
        <v>46159</v>
      </c>
      <c r="N13" s="5" t="s">
        <v>96</v>
      </c>
      <c r="O13" s="5" t="s">
        <v>111</v>
      </c>
      <c r="P13" s="5"/>
    </row>
    <row r="14" spans="1:16" ht="32" x14ac:dyDescent="0.2">
      <c r="A14" s="5" t="s">
        <v>112</v>
      </c>
      <c r="B14" s="5" t="s">
        <v>97</v>
      </c>
      <c r="C14" s="5" t="s">
        <v>113</v>
      </c>
      <c r="D14" s="5" t="s">
        <v>67</v>
      </c>
      <c r="E14" s="5">
        <v>3</v>
      </c>
      <c r="F14" s="5" t="s">
        <v>25</v>
      </c>
      <c r="G14" s="5" t="s">
        <v>114</v>
      </c>
      <c r="H14" s="5" t="s">
        <v>115</v>
      </c>
      <c r="I14" s="5" t="s">
        <v>80</v>
      </c>
      <c r="J14" s="6">
        <v>46159</v>
      </c>
      <c r="K14" s="5" t="s">
        <v>26</v>
      </c>
      <c r="L14" s="5">
        <v>1</v>
      </c>
      <c r="M14" s="6">
        <v>46159</v>
      </c>
      <c r="N14" s="5" t="s">
        <v>102</v>
      </c>
      <c r="O14" s="5" t="s">
        <v>116</v>
      </c>
      <c r="P14" s="5"/>
    </row>
    <row r="15" spans="1:16" ht="32" x14ac:dyDescent="0.2">
      <c r="A15" s="5" t="s">
        <v>117</v>
      </c>
      <c r="B15" s="5" t="s">
        <v>118</v>
      </c>
      <c r="C15" s="5" t="s">
        <v>119</v>
      </c>
      <c r="D15" s="5" t="s">
        <v>52</v>
      </c>
      <c r="E15" s="5">
        <v>8</v>
      </c>
      <c r="F15" s="5" t="s">
        <v>25</v>
      </c>
      <c r="G15" s="5" t="s">
        <v>120</v>
      </c>
      <c r="H15" s="5" t="s">
        <v>121</v>
      </c>
      <c r="I15" s="5" t="s">
        <v>122</v>
      </c>
      <c r="J15" s="6">
        <v>46160</v>
      </c>
      <c r="K15" s="5" t="s">
        <v>26</v>
      </c>
      <c r="L15" s="5">
        <v>2</v>
      </c>
      <c r="M15" s="6">
        <v>46161</v>
      </c>
      <c r="N15" s="5" t="s">
        <v>123</v>
      </c>
      <c r="O15" s="5" t="s">
        <v>124</v>
      </c>
      <c r="P15" s="5"/>
    </row>
    <row r="16" spans="1:16" ht="16" x14ac:dyDescent="0.2">
      <c r="A16" s="5" t="s">
        <v>125</v>
      </c>
      <c r="B16" s="5" t="s">
        <v>88</v>
      </c>
      <c r="C16" s="5" t="s">
        <v>126</v>
      </c>
      <c r="D16" s="5" t="s">
        <v>52</v>
      </c>
      <c r="E16" s="5">
        <v>8</v>
      </c>
      <c r="F16" s="5" t="s">
        <v>13</v>
      </c>
      <c r="G16" s="5" t="s">
        <v>127</v>
      </c>
      <c r="H16" s="5" t="s">
        <v>128</v>
      </c>
      <c r="I16" s="5" t="s">
        <v>64</v>
      </c>
      <c r="J16" s="6">
        <v>46160</v>
      </c>
      <c r="K16" s="5" t="s">
        <v>26</v>
      </c>
      <c r="L16" s="5">
        <v>2</v>
      </c>
      <c r="M16" s="6">
        <v>46161</v>
      </c>
      <c r="N16" s="5" t="s">
        <v>129</v>
      </c>
      <c r="O16" s="5" t="s">
        <v>926</v>
      </c>
      <c r="P16" s="5"/>
    </row>
    <row r="17" spans="1:16" ht="32" x14ac:dyDescent="0.2">
      <c r="A17" s="5" t="s">
        <v>130</v>
      </c>
      <c r="B17" s="5" t="s">
        <v>88</v>
      </c>
      <c r="C17" s="5" t="s">
        <v>131</v>
      </c>
      <c r="D17" s="5" t="s">
        <v>52</v>
      </c>
      <c r="E17" s="5">
        <v>5</v>
      </c>
      <c r="F17" s="5" t="s">
        <v>13</v>
      </c>
      <c r="G17" s="5" t="s">
        <v>132</v>
      </c>
      <c r="H17" s="5" t="s">
        <v>133</v>
      </c>
      <c r="I17" s="5" t="s">
        <v>64</v>
      </c>
      <c r="J17" s="6">
        <v>46161</v>
      </c>
      <c r="K17" s="5" t="s">
        <v>26</v>
      </c>
      <c r="L17" s="5">
        <v>2</v>
      </c>
      <c r="M17" s="6">
        <v>46162</v>
      </c>
      <c r="N17" s="5" t="s">
        <v>134</v>
      </c>
      <c r="O17" s="5" t="s">
        <v>927</v>
      </c>
      <c r="P17" s="5"/>
    </row>
    <row r="18" spans="1:16" ht="32" x14ac:dyDescent="0.2">
      <c r="A18" s="5" t="s">
        <v>135</v>
      </c>
      <c r="B18" s="5" t="s">
        <v>136</v>
      </c>
      <c r="C18" s="5" t="s">
        <v>137</v>
      </c>
      <c r="D18" s="5" t="s">
        <v>67</v>
      </c>
      <c r="E18" s="5">
        <v>5</v>
      </c>
      <c r="F18" s="5" t="s">
        <v>25</v>
      </c>
      <c r="G18" s="5" t="s">
        <v>138</v>
      </c>
      <c r="H18" s="5" t="s">
        <v>139</v>
      </c>
      <c r="I18" s="5" t="s">
        <v>59</v>
      </c>
      <c r="J18" s="6">
        <v>46162</v>
      </c>
      <c r="K18" s="5" t="s">
        <v>26</v>
      </c>
      <c r="L18" s="5">
        <v>2</v>
      </c>
      <c r="M18" s="6">
        <v>46163</v>
      </c>
      <c r="N18" s="5" t="s">
        <v>140</v>
      </c>
      <c r="O18" s="5" t="s">
        <v>928</v>
      </c>
      <c r="P18" s="5"/>
    </row>
    <row r="19" spans="1:16" ht="16" x14ac:dyDescent="0.2">
      <c r="A19" s="5" t="s">
        <v>141</v>
      </c>
      <c r="B19" s="5" t="s">
        <v>142</v>
      </c>
      <c r="C19" s="5" t="s">
        <v>143</v>
      </c>
      <c r="D19" s="5" t="s">
        <v>52</v>
      </c>
      <c r="E19" s="5">
        <v>5</v>
      </c>
      <c r="F19" s="5" t="s">
        <v>25</v>
      </c>
      <c r="G19" s="5" t="s">
        <v>144</v>
      </c>
      <c r="H19" s="5" t="s">
        <v>145</v>
      </c>
      <c r="I19" s="5" t="s">
        <v>64</v>
      </c>
      <c r="J19" s="6">
        <v>46162</v>
      </c>
      <c r="K19" s="5" t="s">
        <v>26</v>
      </c>
      <c r="L19" s="5">
        <v>2</v>
      </c>
      <c r="M19" s="6">
        <v>46163</v>
      </c>
      <c r="N19" s="5" t="s">
        <v>130</v>
      </c>
      <c r="O19" s="5" t="s">
        <v>929</v>
      </c>
      <c r="P19" s="5"/>
    </row>
    <row r="20" spans="1:16" ht="16" x14ac:dyDescent="0.2">
      <c r="A20" s="5" t="s">
        <v>146</v>
      </c>
      <c r="B20" s="5" t="s">
        <v>147</v>
      </c>
      <c r="C20" s="5" t="s">
        <v>148</v>
      </c>
      <c r="D20" s="5" t="s">
        <v>67</v>
      </c>
      <c r="E20" s="5">
        <v>3</v>
      </c>
      <c r="F20" s="5" t="s">
        <v>25</v>
      </c>
      <c r="G20" s="5" t="s">
        <v>149</v>
      </c>
      <c r="H20" s="5" t="s">
        <v>150</v>
      </c>
      <c r="I20" s="5" t="s">
        <v>80</v>
      </c>
      <c r="J20" s="6">
        <v>46164</v>
      </c>
      <c r="K20" s="5" t="s">
        <v>27</v>
      </c>
      <c r="L20" s="5">
        <v>1</v>
      </c>
      <c r="M20" s="6">
        <v>46164</v>
      </c>
      <c r="N20" s="5" t="s">
        <v>117</v>
      </c>
      <c r="O20" s="5" t="s">
        <v>151</v>
      </c>
      <c r="P20" s="5"/>
    </row>
    <row r="21" spans="1:16" ht="32" x14ac:dyDescent="0.2">
      <c r="A21" s="5" t="s">
        <v>152</v>
      </c>
      <c r="B21" s="5" t="s">
        <v>147</v>
      </c>
      <c r="C21" s="5" t="s">
        <v>153</v>
      </c>
      <c r="D21" s="5" t="s">
        <v>67</v>
      </c>
      <c r="E21" s="5">
        <v>5</v>
      </c>
      <c r="F21" s="5" t="s">
        <v>25</v>
      </c>
      <c r="G21" s="5" t="s">
        <v>154</v>
      </c>
      <c r="H21" s="5" t="s">
        <v>155</v>
      </c>
      <c r="I21" s="5" t="s">
        <v>64</v>
      </c>
      <c r="J21" s="6">
        <v>46164</v>
      </c>
      <c r="K21" s="5" t="s">
        <v>27</v>
      </c>
      <c r="L21" s="5">
        <v>2</v>
      </c>
      <c r="M21" s="6">
        <v>46165</v>
      </c>
      <c r="N21" s="5" t="s">
        <v>156</v>
      </c>
      <c r="O21" s="5" t="s">
        <v>930</v>
      </c>
      <c r="P21" s="5"/>
    </row>
    <row r="22" spans="1:16" ht="16" x14ac:dyDescent="0.2">
      <c r="A22" s="5" t="s">
        <v>157</v>
      </c>
      <c r="B22" s="5" t="s">
        <v>147</v>
      </c>
      <c r="C22" s="5" t="s">
        <v>158</v>
      </c>
      <c r="D22" s="5" t="s">
        <v>67</v>
      </c>
      <c r="E22" s="5">
        <v>5</v>
      </c>
      <c r="F22" s="5" t="s">
        <v>25</v>
      </c>
      <c r="G22" s="5" t="s">
        <v>159</v>
      </c>
      <c r="H22" s="5" t="s">
        <v>160</v>
      </c>
      <c r="I22" s="5" t="s">
        <v>64</v>
      </c>
      <c r="J22" s="6">
        <v>46165</v>
      </c>
      <c r="K22" s="5" t="s">
        <v>27</v>
      </c>
      <c r="L22" s="5">
        <v>2</v>
      </c>
      <c r="M22" s="6">
        <v>46166</v>
      </c>
      <c r="N22" s="5" t="s">
        <v>152</v>
      </c>
      <c r="O22" s="5" t="s">
        <v>931</v>
      </c>
      <c r="P22" s="5"/>
    </row>
    <row r="23" spans="1:16" ht="16" x14ac:dyDescent="0.2">
      <c r="A23" s="5" t="s">
        <v>161</v>
      </c>
      <c r="B23" s="5" t="s">
        <v>162</v>
      </c>
      <c r="C23" s="5" t="s">
        <v>163</v>
      </c>
      <c r="D23" s="5" t="s">
        <v>67</v>
      </c>
      <c r="E23" s="5">
        <v>3</v>
      </c>
      <c r="F23" s="5" t="s">
        <v>25</v>
      </c>
      <c r="G23" s="5" t="s">
        <v>164</v>
      </c>
      <c r="H23" s="5" t="s">
        <v>165</v>
      </c>
      <c r="I23" s="5" t="s">
        <v>64</v>
      </c>
      <c r="J23" s="6">
        <v>46166</v>
      </c>
      <c r="K23" s="5" t="s">
        <v>27</v>
      </c>
      <c r="L23" s="5">
        <v>1</v>
      </c>
      <c r="M23" s="6">
        <v>46166</v>
      </c>
      <c r="N23" s="5" t="s">
        <v>141</v>
      </c>
      <c r="O23" s="5" t="s">
        <v>932</v>
      </c>
      <c r="P23" s="5"/>
    </row>
    <row r="24" spans="1:16" ht="32" x14ac:dyDescent="0.2">
      <c r="A24" s="5" t="s">
        <v>166</v>
      </c>
      <c r="B24" s="5" t="s">
        <v>162</v>
      </c>
      <c r="C24" s="5" t="s">
        <v>167</v>
      </c>
      <c r="D24" s="5" t="s">
        <v>168</v>
      </c>
      <c r="E24" s="5">
        <v>5</v>
      </c>
      <c r="F24" s="5" t="s">
        <v>25</v>
      </c>
      <c r="G24" s="5" t="s">
        <v>169</v>
      </c>
      <c r="H24" s="5" t="s">
        <v>170</v>
      </c>
      <c r="I24" s="5" t="s">
        <v>59</v>
      </c>
      <c r="J24" s="6">
        <v>46167</v>
      </c>
      <c r="K24" s="5" t="s">
        <v>27</v>
      </c>
      <c r="L24" s="5">
        <v>2</v>
      </c>
      <c r="M24" s="6">
        <v>46168</v>
      </c>
      <c r="N24" s="5" t="s">
        <v>171</v>
      </c>
      <c r="O24" s="5" t="s">
        <v>933</v>
      </c>
      <c r="P24" s="5"/>
    </row>
    <row r="25" spans="1:16" ht="32" x14ac:dyDescent="0.2">
      <c r="A25" s="5" t="s">
        <v>172</v>
      </c>
      <c r="B25" s="5" t="s">
        <v>173</v>
      </c>
      <c r="C25" s="5" t="s">
        <v>174</v>
      </c>
      <c r="D25" s="5" t="s">
        <v>67</v>
      </c>
      <c r="E25" s="5">
        <v>5</v>
      </c>
      <c r="F25" s="5" t="s">
        <v>25</v>
      </c>
      <c r="G25" s="5" t="s">
        <v>175</v>
      </c>
      <c r="H25" s="5" t="s">
        <v>176</v>
      </c>
      <c r="I25" s="5" t="s">
        <v>59</v>
      </c>
      <c r="J25" s="6">
        <v>46166</v>
      </c>
      <c r="K25" s="5" t="s">
        <v>27</v>
      </c>
      <c r="L25" s="5">
        <v>2</v>
      </c>
      <c r="M25" s="6">
        <v>46167</v>
      </c>
      <c r="N25" s="5" t="s">
        <v>135</v>
      </c>
      <c r="O25" s="5" t="s">
        <v>934</v>
      </c>
      <c r="P25" s="5"/>
    </row>
    <row r="26" spans="1:16" ht="32" x14ac:dyDescent="0.2">
      <c r="A26" s="5" t="s">
        <v>177</v>
      </c>
      <c r="B26" s="5" t="s">
        <v>178</v>
      </c>
      <c r="C26" s="5" t="s">
        <v>179</v>
      </c>
      <c r="D26" s="5" t="s">
        <v>168</v>
      </c>
      <c r="E26" s="5">
        <v>5</v>
      </c>
      <c r="F26" s="5" t="s">
        <v>25</v>
      </c>
      <c r="G26" s="5" t="s">
        <v>180</v>
      </c>
      <c r="H26" s="5" t="s">
        <v>181</v>
      </c>
      <c r="I26" s="5" t="s">
        <v>182</v>
      </c>
      <c r="J26" s="6">
        <v>46168</v>
      </c>
      <c r="K26" s="5" t="s">
        <v>27</v>
      </c>
      <c r="L26" s="5">
        <v>2</v>
      </c>
      <c r="M26" s="6">
        <v>46169</v>
      </c>
      <c r="N26" s="5" t="s">
        <v>183</v>
      </c>
      <c r="O26" s="5" t="s">
        <v>935</v>
      </c>
      <c r="P26" s="5"/>
    </row>
    <row r="27" spans="1:16" ht="32" x14ac:dyDescent="0.2">
      <c r="A27" s="5" t="s">
        <v>184</v>
      </c>
      <c r="B27" s="5" t="s">
        <v>185</v>
      </c>
      <c r="C27" s="5" t="s">
        <v>186</v>
      </c>
      <c r="D27" s="5" t="s">
        <v>52</v>
      </c>
      <c r="E27" s="5">
        <v>5</v>
      </c>
      <c r="F27" s="5" t="s">
        <v>25</v>
      </c>
      <c r="G27" s="5" t="s">
        <v>187</v>
      </c>
      <c r="H27" s="5" t="s">
        <v>188</v>
      </c>
      <c r="I27" s="5" t="s">
        <v>80</v>
      </c>
      <c r="J27" s="6">
        <v>46170</v>
      </c>
      <c r="K27" s="5" t="s">
        <v>28</v>
      </c>
      <c r="L27" s="5">
        <v>1</v>
      </c>
      <c r="M27" s="6">
        <v>46170</v>
      </c>
      <c r="N27" s="5" t="s">
        <v>117</v>
      </c>
      <c r="O27" s="5" t="s">
        <v>189</v>
      </c>
      <c r="P27" s="5"/>
    </row>
    <row r="28" spans="1:16" ht="32" x14ac:dyDescent="0.2">
      <c r="A28" s="5" t="s">
        <v>190</v>
      </c>
      <c r="B28" s="5" t="s">
        <v>185</v>
      </c>
      <c r="C28" s="5" t="s">
        <v>191</v>
      </c>
      <c r="D28" s="5" t="s">
        <v>67</v>
      </c>
      <c r="E28" s="5">
        <v>3</v>
      </c>
      <c r="F28" s="5" t="s">
        <v>25</v>
      </c>
      <c r="G28" s="5" t="s">
        <v>192</v>
      </c>
      <c r="H28" s="5" t="s">
        <v>193</v>
      </c>
      <c r="I28" s="5" t="s">
        <v>80</v>
      </c>
      <c r="J28" s="6">
        <v>46170</v>
      </c>
      <c r="K28" s="5" t="s">
        <v>28</v>
      </c>
      <c r="L28" s="5">
        <v>1</v>
      </c>
      <c r="M28" s="6">
        <v>46170</v>
      </c>
      <c r="N28" s="5" t="s">
        <v>184</v>
      </c>
      <c r="O28" s="5" t="s">
        <v>194</v>
      </c>
      <c r="P28" s="5"/>
    </row>
    <row r="29" spans="1:16" ht="32" x14ac:dyDescent="0.2">
      <c r="A29" s="5" t="s">
        <v>195</v>
      </c>
      <c r="B29" s="5" t="s">
        <v>196</v>
      </c>
      <c r="C29" s="5" t="s">
        <v>197</v>
      </c>
      <c r="D29" s="5" t="s">
        <v>67</v>
      </c>
      <c r="E29" s="5">
        <v>3</v>
      </c>
      <c r="F29" s="5" t="s">
        <v>25</v>
      </c>
      <c r="G29" s="5" t="s">
        <v>198</v>
      </c>
      <c r="H29" s="5" t="s">
        <v>199</v>
      </c>
      <c r="I29" s="5" t="s">
        <v>64</v>
      </c>
      <c r="J29" s="6">
        <v>46171</v>
      </c>
      <c r="K29" s="5" t="s">
        <v>28</v>
      </c>
      <c r="L29" s="5">
        <v>1</v>
      </c>
      <c r="M29" s="6">
        <v>46171</v>
      </c>
      <c r="N29" s="5" t="s">
        <v>184</v>
      </c>
      <c r="O29" s="5" t="s">
        <v>936</v>
      </c>
      <c r="P29" s="5"/>
    </row>
    <row r="30" spans="1:16" ht="32" x14ac:dyDescent="0.2">
      <c r="A30" s="5" t="s">
        <v>200</v>
      </c>
      <c r="B30" s="5" t="s">
        <v>196</v>
      </c>
      <c r="C30" s="5" t="s">
        <v>201</v>
      </c>
      <c r="D30" s="5" t="s">
        <v>52</v>
      </c>
      <c r="E30" s="5">
        <v>8</v>
      </c>
      <c r="F30" s="5" t="s">
        <v>25</v>
      </c>
      <c r="G30" s="5" t="s">
        <v>202</v>
      </c>
      <c r="H30" s="5" t="s">
        <v>203</v>
      </c>
      <c r="I30" s="5" t="s">
        <v>64</v>
      </c>
      <c r="J30" s="6">
        <v>46171</v>
      </c>
      <c r="K30" s="5" t="s">
        <v>28</v>
      </c>
      <c r="L30" s="5">
        <v>2</v>
      </c>
      <c r="M30" s="6">
        <v>46172</v>
      </c>
      <c r="N30" s="5" t="s">
        <v>204</v>
      </c>
      <c r="O30" s="5" t="s">
        <v>937</v>
      </c>
      <c r="P30" s="5"/>
    </row>
    <row r="31" spans="1:16" ht="32" x14ac:dyDescent="0.2">
      <c r="A31" s="5" t="s">
        <v>205</v>
      </c>
      <c r="B31" s="5" t="s">
        <v>196</v>
      </c>
      <c r="C31" s="5" t="s">
        <v>206</v>
      </c>
      <c r="D31" s="5" t="s">
        <v>52</v>
      </c>
      <c r="E31" s="5">
        <v>8</v>
      </c>
      <c r="F31" s="5" t="s">
        <v>25</v>
      </c>
      <c r="G31" s="5" t="s">
        <v>207</v>
      </c>
      <c r="H31" s="5" t="s">
        <v>208</v>
      </c>
      <c r="I31" s="5" t="s">
        <v>64</v>
      </c>
      <c r="J31" s="6">
        <v>46172</v>
      </c>
      <c r="K31" s="5" t="s">
        <v>28</v>
      </c>
      <c r="L31" s="5">
        <v>2</v>
      </c>
      <c r="M31" s="6">
        <v>46173</v>
      </c>
      <c r="N31" s="5" t="s">
        <v>200</v>
      </c>
      <c r="O31" s="5" t="s">
        <v>938</v>
      </c>
      <c r="P31" s="5"/>
    </row>
    <row r="32" spans="1:16" ht="32" x14ac:dyDescent="0.2">
      <c r="A32" s="5" t="s">
        <v>209</v>
      </c>
      <c r="B32" s="5" t="s">
        <v>196</v>
      </c>
      <c r="C32" s="5" t="s">
        <v>210</v>
      </c>
      <c r="D32" s="5" t="s">
        <v>67</v>
      </c>
      <c r="E32" s="5">
        <v>5</v>
      </c>
      <c r="F32" s="5" t="s">
        <v>25</v>
      </c>
      <c r="G32" s="5" t="s">
        <v>211</v>
      </c>
      <c r="H32" s="5" t="s">
        <v>212</v>
      </c>
      <c r="I32" s="5" t="s">
        <v>64</v>
      </c>
      <c r="J32" s="6">
        <v>46173</v>
      </c>
      <c r="K32" s="5" t="s">
        <v>28</v>
      </c>
      <c r="L32" s="5">
        <v>2</v>
      </c>
      <c r="M32" s="6">
        <v>46174</v>
      </c>
      <c r="N32" s="5" t="s">
        <v>205</v>
      </c>
      <c r="O32" s="5" t="s">
        <v>939</v>
      </c>
      <c r="P32" s="5"/>
    </row>
    <row r="33" spans="1:16" ht="48" x14ac:dyDescent="0.2">
      <c r="A33" s="5" t="s">
        <v>213</v>
      </c>
      <c r="B33" s="5" t="s">
        <v>196</v>
      </c>
      <c r="C33" s="5" t="s">
        <v>214</v>
      </c>
      <c r="D33" s="5" t="s">
        <v>52</v>
      </c>
      <c r="E33" s="5">
        <v>8</v>
      </c>
      <c r="F33" s="5" t="s">
        <v>25</v>
      </c>
      <c r="G33" s="5" t="s">
        <v>215</v>
      </c>
      <c r="H33" s="5" t="s">
        <v>216</v>
      </c>
      <c r="I33" s="5" t="s">
        <v>64</v>
      </c>
      <c r="J33" s="6">
        <v>46174</v>
      </c>
      <c r="K33" s="5" t="s">
        <v>28</v>
      </c>
      <c r="L33" s="5">
        <v>2</v>
      </c>
      <c r="M33" s="6">
        <v>46175</v>
      </c>
      <c r="N33" s="5" t="s">
        <v>217</v>
      </c>
      <c r="O33" s="5" t="s">
        <v>940</v>
      </c>
      <c r="P33" s="5"/>
    </row>
    <row r="34" spans="1:16" ht="32" x14ac:dyDescent="0.2">
      <c r="A34" s="5" t="s">
        <v>218</v>
      </c>
      <c r="B34" s="5" t="s">
        <v>219</v>
      </c>
      <c r="C34" s="5" t="s">
        <v>220</v>
      </c>
      <c r="D34" s="5" t="s">
        <v>67</v>
      </c>
      <c r="E34" s="5">
        <v>5</v>
      </c>
      <c r="F34" s="5" t="s">
        <v>25</v>
      </c>
      <c r="G34" s="5" t="s">
        <v>221</v>
      </c>
      <c r="H34" s="5" t="s">
        <v>222</v>
      </c>
      <c r="I34" s="5" t="s">
        <v>59</v>
      </c>
      <c r="J34" s="6">
        <v>46173</v>
      </c>
      <c r="K34" s="5" t="s">
        <v>28</v>
      </c>
      <c r="L34" s="5">
        <v>2</v>
      </c>
      <c r="M34" s="6">
        <v>46174</v>
      </c>
      <c r="N34" s="5" t="s">
        <v>223</v>
      </c>
      <c r="O34" s="5" t="s">
        <v>941</v>
      </c>
      <c r="P34" s="5"/>
    </row>
    <row r="35" spans="1:16" ht="32" x14ac:dyDescent="0.2">
      <c r="A35" s="5" t="s">
        <v>224</v>
      </c>
      <c r="B35" s="5" t="s">
        <v>219</v>
      </c>
      <c r="C35" s="5" t="s">
        <v>225</v>
      </c>
      <c r="D35" s="5" t="s">
        <v>67</v>
      </c>
      <c r="E35" s="5">
        <v>8</v>
      </c>
      <c r="F35" s="5" t="s">
        <v>25</v>
      </c>
      <c r="G35" s="5" t="s">
        <v>226</v>
      </c>
      <c r="H35" s="5" t="s">
        <v>227</v>
      </c>
      <c r="I35" s="5" t="s">
        <v>59</v>
      </c>
      <c r="J35" s="6">
        <v>46174</v>
      </c>
      <c r="K35" s="5" t="s">
        <v>28</v>
      </c>
      <c r="L35" s="5">
        <v>3</v>
      </c>
      <c r="M35" s="6">
        <v>46176</v>
      </c>
      <c r="N35" s="5" t="s">
        <v>228</v>
      </c>
      <c r="O35" s="5" t="s">
        <v>942</v>
      </c>
      <c r="P35" s="5"/>
    </row>
    <row r="36" spans="1:16" ht="32" x14ac:dyDescent="0.2">
      <c r="A36" s="5" t="s">
        <v>229</v>
      </c>
      <c r="B36" s="5" t="s">
        <v>219</v>
      </c>
      <c r="C36" s="5" t="s">
        <v>230</v>
      </c>
      <c r="D36" s="5" t="s">
        <v>67</v>
      </c>
      <c r="E36" s="5">
        <v>5</v>
      </c>
      <c r="F36" s="5" t="s">
        <v>25</v>
      </c>
      <c r="G36" s="5" t="s">
        <v>231</v>
      </c>
      <c r="H36" s="5" t="s">
        <v>232</v>
      </c>
      <c r="I36" s="5" t="s">
        <v>59</v>
      </c>
      <c r="J36" s="6">
        <v>46176</v>
      </c>
      <c r="K36" s="5" t="s">
        <v>28</v>
      </c>
      <c r="L36" s="5">
        <v>2</v>
      </c>
      <c r="M36" s="6">
        <v>46177</v>
      </c>
      <c r="N36" s="5" t="s">
        <v>233</v>
      </c>
      <c r="O36" s="5" t="s">
        <v>943</v>
      </c>
      <c r="P36" s="5"/>
    </row>
    <row r="37" spans="1:16" ht="32" x14ac:dyDescent="0.2">
      <c r="A37" s="5" t="s">
        <v>234</v>
      </c>
      <c r="B37" s="5" t="s">
        <v>235</v>
      </c>
      <c r="C37" s="5" t="s">
        <v>236</v>
      </c>
      <c r="D37" s="5" t="s">
        <v>52</v>
      </c>
      <c r="E37" s="5">
        <v>5</v>
      </c>
      <c r="F37" s="5" t="s">
        <v>25</v>
      </c>
      <c r="G37" s="5" t="s">
        <v>237</v>
      </c>
      <c r="H37" s="5" t="s">
        <v>238</v>
      </c>
      <c r="I37" s="5" t="s">
        <v>80</v>
      </c>
      <c r="J37" s="6">
        <v>46178</v>
      </c>
      <c r="K37" s="5" t="s">
        <v>30</v>
      </c>
      <c r="L37" s="5">
        <v>1</v>
      </c>
      <c r="M37" s="6">
        <v>46178</v>
      </c>
      <c r="N37" s="5" t="s">
        <v>117</v>
      </c>
      <c r="O37" s="5" t="s">
        <v>239</v>
      </c>
      <c r="P37" s="5"/>
    </row>
    <row r="38" spans="1:16" ht="32" x14ac:dyDescent="0.2">
      <c r="A38" s="5" t="s">
        <v>240</v>
      </c>
      <c r="B38" s="5" t="s">
        <v>241</v>
      </c>
      <c r="C38" s="5" t="s">
        <v>242</v>
      </c>
      <c r="D38" s="5" t="s">
        <v>67</v>
      </c>
      <c r="E38" s="5">
        <v>8</v>
      </c>
      <c r="F38" s="5" t="s">
        <v>25</v>
      </c>
      <c r="G38" s="5" t="s">
        <v>243</v>
      </c>
      <c r="H38" s="5" t="s">
        <v>244</v>
      </c>
      <c r="I38" s="5" t="s">
        <v>64</v>
      </c>
      <c r="J38" s="6">
        <v>46178</v>
      </c>
      <c r="K38" s="5" t="s">
        <v>30</v>
      </c>
      <c r="L38" s="5">
        <v>2</v>
      </c>
      <c r="M38" s="6">
        <v>46179</v>
      </c>
      <c r="N38" s="5" t="s">
        <v>245</v>
      </c>
      <c r="O38" s="5" t="s">
        <v>944</v>
      </c>
      <c r="P38" s="5"/>
    </row>
    <row r="39" spans="1:16" ht="32" x14ac:dyDescent="0.2">
      <c r="A39" s="5" t="s">
        <v>246</v>
      </c>
      <c r="B39" s="5" t="s">
        <v>241</v>
      </c>
      <c r="C39" s="5" t="s">
        <v>247</v>
      </c>
      <c r="D39" s="5" t="s">
        <v>67</v>
      </c>
      <c r="E39" s="5">
        <v>5</v>
      </c>
      <c r="F39" s="5" t="s">
        <v>25</v>
      </c>
      <c r="G39" s="5" t="s">
        <v>248</v>
      </c>
      <c r="H39" s="5" t="s">
        <v>249</v>
      </c>
      <c r="I39" s="5" t="s">
        <v>64</v>
      </c>
      <c r="J39" s="6">
        <v>46179</v>
      </c>
      <c r="K39" s="5" t="s">
        <v>30</v>
      </c>
      <c r="L39" s="5">
        <v>2</v>
      </c>
      <c r="M39" s="6">
        <v>46180</v>
      </c>
      <c r="N39" s="5" t="s">
        <v>240</v>
      </c>
      <c r="O39" s="5" t="s">
        <v>945</v>
      </c>
      <c r="P39" s="5"/>
    </row>
    <row r="40" spans="1:16" ht="32" x14ac:dyDescent="0.2">
      <c r="A40" s="5" t="s">
        <v>250</v>
      </c>
      <c r="B40" s="5" t="s">
        <v>251</v>
      </c>
      <c r="C40" s="5" t="s">
        <v>252</v>
      </c>
      <c r="D40" s="5" t="s">
        <v>67</v>
      </c>
      <c r="E40" s="5">
        <v>8</v>
      </c>
      <c r="F40" s="5" t="s">
        <v>25</v>
      </c>
      <c r="G40" s="5" t="s">
        <v>253</v>
      </c>
      <c r="H40" s="5" t="s">
        <v>254</v>
      </c>
      <c r="I40" s="5" t="s">
        <v>59</v>
      </c>
      <c r="J40" s="6">
        <v>46180</v>
      </c>
      <c r="K40" s="5" t="s">
        <v>30</v>
      </c>
      <c r="L40" s="5">
        <v>2</v>
      </c>
      <c r="M40" s="6">
        <v>46181</v>
      </c>
      <c r="N40" s="5" t="s">
        <v>240</v>
      </c>
      <c r="O40" s="5" t="s">
        <v>946</v>
      </c>
      <c r="P40" s="5"/>
    </row>
    <row r="41" spans="1:16" ht="16" x14ac:dyDescent="0.2">
      <c r="A41" s="5" t="s">
        <v>255</v>
      </c>
      <c r="B41" s="5" t="s">
        <v>256</v>
      </c>
      <c r="C41" s="5" t="s">
        <v>257</v>
      </c>
      <c r="D41" s="5" t="s">
        <v>52</v>
      </c>
      <c r="E41" s="5">
        <v>3</v>
      </c>
      <c r="F41" s="5" t="s">
        <v>25</v>
      </c>
      <c r="G41" s="5" t="s">
        <v>258</v>
      </c>
      <c r="H41" s="5" t="s">
        <v>259</v>
      </c>
      <c r="I41" s="5" t="s">
        <v>80</v>
      </c>
      <c r="J41" s="6">
        <v>46180</v>
      </c>
      <c r="K41" s="5" t="s">
        <v>30</v>
      </c>
      <c r="L41" s="5">
        <v>1</v>
      </c>
      <c r="M41" s="6">
        <v>46180</v>
      </c>
      <c r="N41" s="5" t="s">
        <v>260</v>
      </c>
      <c r="O41" s="5" t="s">
        <v>261</v>
      </c>
      <c r="P41" s="5"/>
    </row>
    <row r="42" spans="1:16" ht="32" x14ac:dyDescent="0.2">
      <c r="A42" s="5" t="s">
        <v>262</v>
      </c>
      <c r="B42" s="5" t="s">
        <v>256</v>
      </c>
      <c r="C42" s="5" t="s">
        <v>263</v>
      </c>
      <c r="D42" s="5" t="s">
        <v>67</v>
      </c>
      <c r="E42" s="5">
        <v>8</v>
      </c>
      <c r="F42" s="5" t="s">
        <v>25</v>
      </c>
      <c r="G42" s="5" t="s">
        <v>264</v>
      </c>
      <c r="H42" s="5" t="s">
        <v>265</v>
      </c>
      <c r="I42" s="5" t="s">
        <v>64</v>
      </c>
      <c r="J42" s="6">
        <v>46181</v>
      </c>
      <c r="K42" s="5" t="s">
        <v>30</v>
      </c>
      <c r="L42" s="5">
        <v>2</v>
      </c>
      <c r="M42" s="6">
        <v>46182</v>
      </c>
      <c r="N42" s="5" t="s">
        <v>255</v>
      </c>
      <c r="O42" s="5" t="s">
        <v>947</v>
      </c>
      <c r="P42" s="5"/>
    </row>
    <row r="43" spans="1:16" ht="32" x14ac:dyDescent="0.2">
      <c r="A43" s="5" t="s">
        <v>266</v>
      </c>
      <c r="B43" s="5" t="s">
        <v>256</v>
      </c>
      <c r="C43" s="5" t="s">
        <v>267</v>
      </c>
      <c r="D43" s="5" t="s">
        <v>67</v>
      </c>
      <c r="E43" s="5">
        <v>8</v>
      </c>
      <c r="F43" s="5" t="s">
        <v>25</v>
      </c>
      <c r="G43" s="5" t="s">
        <v>268</v>
      </c>
      <c r="H43" s="5" t="s">
        <v>269</v>
      </c>
      <c r="I43" s="5" t="s">
        <v>59</v>
      </c>
      <c r="J43" s="6">
        <v>46182</v>
      </c>
      <c r="K43" s="5" t="s">
        <v>30</v>
      </c>
      <c r="L43" s="5">
        <v>3</v>
      </c>
      <c r="M43" s="6">
        <v>46184</v>
      </c>
      <c r="N43" s="5" t="s">
        <v>270</v>
      </c>
      <c r="O43" s="5" t="s">
        <v>948</v>
      </c>
      <c r="P43" s="5"/>
    </row>
    <row r="44" spans="1:16" ht="32" x14ac:dyDescent="0.2">
      <c r="A44" s="5" t="s">
        <v>271</v>
      </c>
      <c r="B44" s="5" t="s">
        <v>256</v>
      </c>
      <c r="C44" s="5" t="s">
        <v>272</v>
      </c>
      <c r="D44" s="5" t="s">
        <v>52</v>
      </c>
      <c r="E44" s="5">
        <v>8</v>
      </c>
      <c r="F44" s="5" t="s">
        <v>25</v>
      </c>
      <c r="G44" s="5" t="s">
        <v>273</v>
      </c>
      <c r="H44" s="5" t="s">
        <v>274</v>
      </c>
      <c r="I44" s="5" t="s">
        <v>59</v>
      </c>
      <c r="J44" s="6">
        <v>46183</v>
      </c>
      <c r="K44" s="5" t="s">
        <v>30</v>
      </c>
      <c r="L44" s="5">
        <v>3</v>
      </c>
      <c r="M44" s="6">
        <v>46185</v>
      </c>
      <c r="N44" s="5" t="s">
        <v>275</v>
      </c>
      <c r="O44" s="5" t="s">
        <v>949</v>
      </c>
      <c r="P44" s="5"/>
    </row>
    <row r="45" spans="1:16" ht="16" x14ac:dyDescent="0.2">
      <c r="A45" s="5" t="s">
        <v>276</v>
      </c>
      <c r="B45" s="5" t="s">
        <v>277</v>
      </c>
      <c r="C45" s="5" t="s">
        <v>278</v>
      </c>
      <c r="D45" s="5" t="s">
        <v>67</v>
      </c>
      <c r="E45" s="5">
        <v>3</v>
      </c>
      <c r="F45" s="5" t="s">
        <v>25</v>
      </c>
      <c r="G45" s="5" t="s">
        <v>279</v>
      </c>
      <c r="H45" s="5" t="s">
        <v>280</v>
      </c>
      <c r="I45" s="5" t="s">
        <v>80</v>
      </c>
      <c r="J45" s="6">
        <v>46186</v>
      </c>
      <c r="K45" s="5" t="s">
        <v>31</v>
      </c>
      <c r="L45" s="5">
        <v>1</v>
      </c>
      <c r="M45" s="6">
        <v>46186</v>
      </c>
      <c r="N45" s="5" t="s">
        <v>117</v>
      </c>
      <c r="O45" s="5" t="s">
        <v>281</v>
      </c>
      <c r="P45" s="5"/>
    </row>
    <row r="46" spans="1:16" ht="32" x14ac:dyDescent="0.2">
      <c r="A46" s="5" t="s">
        <v>282</v>
      </c>
      <c r="B46" s="5" t="s">
        <v>277</v>
      </c>
      <c r="C46" s="5" t="s">
        <v>283</v>
      </c>
      <c r="D46" s="5" t="s">
        <v>67</v>
      </c>
      <c r="E46" s="5">
        <v>5</v>
      </c>
      <c r="F46" s="5" t="s">
        <v>25</v>
      </c>
      <c r="G46" s="5" t="s">
        <v>284</v>
      </c>
      <c r="H46" s="5" t="s">
        <v>285</v>
      </c>
      <c r="I46" s="5" t="s">
        <v>64</v>
      </c>
      <c r="J46" s="6">
        <v>46187</v>
      </c>
      <c r="K46" s="5" t="s">
        <v>31</v>
      </c>
      <c r="L46" s="5">
        <v>2</v>
      </c>
      <c r="M46" s="6">
        <v>46188</v>
      </c>
      <c r="N46" s="5" t="s">
        <v>286</v>
      </c>
      <c r="O46" s="5" t="s">
        <v>950</v>
      </c>
      <c r="P46" s="5"/>
    </row>
    <row r="47" spans="1:16" ht="16" x14ac:dyDescent="0.2">
      <c r="A47" s="5" t="s">
        <v>287</v>
      </c>
      <c r="B47" s="5" t="s">
        <v>277</v>
      </c>
      <c r="C47" s="5" t="s">
        <v>288</v>
      </c>
      <c r="D47" s="5" t="s">
        <v>168</v>
      </c>
      <c r="E47" s="5">
        <v>3</v>
      </c>
      <c r="F47" s="5" t="s">
        <v>25</v>
      </c>
      <c r="G47" s="5" t="s">
        <v>289</v>
      </c>
      <c r="H47" s="5" t="s">
        <v>290</v>
      </c>
      <c r="I47" s="5" t="s">
        <v>64</v>
      </c>
      <c r="J47" s="6">
        <v>46188</v>
      </c>
      <c r="K47" s="5" t="s">
        <v>31</v>
      </c>
      <c r="L47" s="5">
        <v>1</v>
      </c>
      <c r="M47" s="6">
        <v>46188</v>
      </c>
      <c r="N47" s="5" t="s">
        <v>282</v>
      </c>
      <c r="O47" s="5" t="s">
        <v>951</v>
      </c>
      <c r="P47" s="5"/>
    </row>
    <row r="48" spans="1:16" ht="16" x14ac:dyDescent="0.2">
      <c r="A48" s="5" t="s">
        <v>291</v>
      </c>
      <c r="B48" s="5" t="s">
        <v>277</v>
      </c>
      <c r="C48" s="5" t="s">
        <v>292</v>
      </c>
      <c r="D48" s="5" t="s">
        <v>168</v>
      </c>
      <c r="E48" s="5">
        <v>5</v>
      </c>
      <c r="F48" s="5" t="s">
        <v>25</v>
      </c>
      <c r="G48" s="5" t="s">
        <v>293</v>
      </c>
      <c r="H48" s="5" t="s">
        <v>294</v>
      </c>
      <c r="I48" s="5" t="s">
        <v>59</v>
      </c>
      <c r="J48" s="6">
        <v>46189</v>
      </c>
      <c r="K48" s="5" t="s">
        <v>31</v>
      </c>
      <c r="L48" s="5">
        <v>2</v>
      </c>
      <c r="M48" s="6">
        <v>46190</v>
      </c>
      <c r="N48" s="5" t="s">
        <v>295</v>
      </c>
      <c r="O48" s="5" t="s">
        <v>952</v>
      </c>
      <c r="P48" s="5"/>
    </row>
    <row r="49" spans="1:16" ht="32" x14ac:dyDescent="0.2">
      <c r="A49" s="5" t="s">
        <v>296</v>
      </c>
      <c r="B49" s="5" t="s">
        <v>297</v>
      </c>
      <c r="C49" s="5" t="s">
        <v>298</v>
      </c>
      <c r="D49" s="5" t="s">
        <v>67</v>
      </c>
      <c r="E49" s="5">
        <v>5</v>
      </c>
      <c r="F49" s="5" t="s">
        <v>25</v>
      </c>
      <c r="G49" s="5" t="s">
        <v>299</v>
      </c>
      <c r="H49" s="5" t="s">
        <v>300</v>
      </c>
      <c r="I49" s="5" t="s">
        <v>59</v>
      </c>
      <c r="J49" s="6">
        <v>46188</v>
      </c>
      <c r="K49" s="5" t="s">
        <v>31</v>
      </c>
      <c r="L49" s="5">
        <v>2</v>
      </c>
      <c r="M49" s="6">
        <v>46189</v>
      </c>
      <c r="N49" s="5" t="s">
        <v>301</v>
      </c>
      <c r="O49" s="5" t="s">
        <v>953</v>
      </c>
      <c r="P49" s="5"/>
    </row>
    <row r="50" spans="1:16" ht="16" x14ac:dyDescent="0.2">
      <c r="A50" s="5" t="s">
        <v>302</v>
      </c>
      <c r="B50" s="5" t="s">
        <v>297</v>
      </c>
      <c r="C50" s="5" t="s">
        <v>303</v>
      </c>
      <c r="D50" s="5" t="s">
        <v>67</v>
      </c>
      <c r="E50" s="5">
        <v>5</v>
      </c>
      <c r="F50" s="5" t="s">
        <v>25</v>
      </c>
      <c r="G50" s="5" t="s">
        <v>304</v>
      </c>
      <c r="H50" s="5" t="s">
        <v>305</v>
      </c>
      <c r="I50" s="5" t="s">
        <v>59</v>
      </c>
      <c r="J50" s="6">
        <v>46189</v>
      </c>
      <c r="K50" s="5" t="s">
        <v>31</v>
      </c>
      <c r="L50" s="5">
        <v>2</v>
      </c>
      <c r="M50" s="6">
        <v>46190</v>
      </c>
      <c r="N50" s="5" t="s">
        <v>271</v>
      </c>
      <c r="O50" s="5" t="s">
        <v>954</v>
      </c>
      <c r="P50" s="5"/>
    </row>
    <row r="51" spans="1:16" ht="16" x14ac:dyDescent="0.2">
      <c r="A51" s="5" t="s">
        <v>306</v>
      </c>
      <c r="B51" s="5" t="s">
        <v>307</v>
      </c>
      <c r="C51" s="5" t="s">
        <v>308</v>
      </c>
      <c r="D51" s="5" t="s">
        <v>168</v>
      </c>
      <c r="E51" s="5">
        <v>5</v>
      </c>
      <c r="F51" s="5" t="s">
        <v>25</v>
      </c>
      <c r="G51" s="5" t="s">
        <v>309</v>
      </c>
      <c r="H51" s="5" t="s">
        <v>310</v>
      </c>
      <c r="I51" s="5" t="s">
        <v>64</v>
      </c>
      <c r="J51" s="6">
        <v>46190</v>
      </c>
      <c r="K51" s="5" t="s">
        <v>31</v>
      </c>
      <c r="L51" s="5">
        <v>2</v>
      </c>
      <c r="M51" s="6">
        <v>46191</v>
      </c>
      <c r="N51" s="5" t="s">
        <v>205</v>
      </c>
      <c r="O51" s="5" t="s">
        <v>955</v>
      </c>
      <c r="P51" s="5"/>
    </row>
    <row r="52" spans="1:16" ht="16" x14ac:dyDescent="0.2">
      <c r="A52" s="5" t="s">
        <v>311</v>
      </c>
      <c r="B52" s="5" t="s">
        <v>307</v>
      </c>
      <c r="C52" s="5" t="s">
        <v>312</v>
      </c>
      <c r="D52" s="5" t="s">
        <v>168</v>
      </c>
      <c r="E52" s="5">
        <v>3</v>
      </c>
      <c r="F52" s="5" t="s">
        <v>25</v>
      </c>
      <c r="G52" s="5" t="s">
        <v>313</v>
      </c>
      <c r="H52" s="5" t="s">
        <v>314</v>
      </c>
      <c r="I52" s="5" t="s">
        <v>59</v>
      </c>
      <c r="J52" s="6">
        <v>46191</v>
      </c>
      <c r="K52" s="5" t="s">
        <v>31</v>
      </c>
      <c r="L52" s="5">
        <v>1</v>
      </c>
      <c r="M52" s="6">
        <v>46191</v>
      </c>
      <c r="N52" s="5" t="s">
        <v>315</v>
      </c>
      <c r="O52" s="5" t="s">
        <v>956</v>
      </c>
      <c r="P52" s="5"/>
    </row>
    <row r="53" spans="1:16" ht="32" x14ac:dyDescent="0.2">
      <c r="A53" s="5" t="s">
        <v>316</v>
      </c>
      <c r="B53" s="5" t="s">
        <v>317</v>
      </c>
      <c r="C53" s="5" t="s">
        <v>318</v>
      </c>
      <c r="D53" s="5" t="s">
        <v>67</v>
      </c>
      <c r="E53" s="5">
        <v>5</v>
      </c>
      <c r="F53" s="5" t="s">
        <v>25</v>
      </c>
      <c r="G53" s="5" t="s">
        <v>319</v>
      </c>
      <c r="H53" s="5" t="s">
        <v>320</v>
      </c>
      <c r="I53" s="5" t="s">
        <v>80</v>
      </c>
      <c r="J53" s="6">
        <v>46193</v>
      </c>
      <c r="K53" s="5" t="s">
        <v>32</v>
      </c>
      <c r="L53" s="5">
        <v>2</v>
      </c>
      <c r="M53" s="6">
        <v>46194</v>
      </c>
      <c r="N53" s="5" t="s">
        <v>321</v>
      </c>
      <c r="O53" s="5" t="s">
        <v>322</v>
      </c>
      <c r="P53" s="5"/>
    </row>
    <row r="54" spans="1:16" ht="16" x14ac:dyDescent="0.2">
      <c r="A54" s="5" t="s">
        <v>323</v>
      </c>
      <c r="B54" s="5" t="s">
        <v>317</v>
      </c>
      <c r="C54" s="5" t="s">
        <v>324</v>
      </c>
      <c r="D54" s="5" t="s">
        <v>168</v>
      </c>
      <c r="E54" s="5">
        <v>5</v>
      </c>
      <c r="F54" s="5" t="s">
        <v>25</v>
      </c>
      <c r="G54" s="5" t="s">
        <v>325</v>
      </c>
      <c r="H54" s="5" t="s">
        <v>326</v>
      </c>
      <c r="I54" s="5" t="s">
        <v>80</v>
      </c>
      <c r="J54" s="6">
        <v>46194</v>
      </c>
      <c r="K54" s="5" t="s">
        <v>32</v>
      </c>
      <c r="L54" s="5">
        <v>2</v>
      </c>
      <c r="M54" s="6">
        <v>46195</v>
      </c>
      <c r="N54" s="5" t="s">
        <v>316</v>
      </c>
      <c r="O54" s="5" t="s">
        <v>327</v>
      </c>
      <c r="P54" s="5"/>
    </row>
    <row r="55" spans="1:16" ht="32" x14ac:dyDescent="0.2">
      <c r="A55" s="5" t="s">
        <v>328</v>
      </c>
      <c r="B55" s="5" t="s">
        <v>122</v>
      </c>
      <c r="C55" s="5" t="s">
        <v>329</v>
      </c>
      <c r="D55" s="5" t="s">
        <v>52</v>
      </c>
      <c r="E55" s="5">
        <v>8</v>
      </c>
      <c r="F55" s="5" t="s">
        <v>25</v>
      </c>
      <c r="G55" s="5" t="s">
        <v>330</v>
      </c>
      <c r="H55" s="5" t="s">
        <v>331</v>
      </c>
      <c r="I55" s="5" t="s">
        <v>122</v>
      </c>
      <c r="J55" s="6">
        <v>46195</v>
      </c>
      <c r="K55" s="5" t="s">
        <v>32</v>
      </c>
      <c r="L55" s="5">
        <v>2</v>
      </c>
      <c r="M55" s="6">
        <v>46196</v>
      </c>
      <c r="N55" s="5" t="s">
        <v>332</v>
      </c>
      <c r="O55" s="5" t="s">
        <v>333</v>
      </c>
      <c r="P55" s="5"/>
    </row>
    <row r="56" spans="1:16" ht="16" x14ac:dyDescent="0.2">
      <c r="A56" s="5" t="s">
        <v>334</v>
      </c>
      <c r="B56" s="5" t="s">
        <v>335</v>
      </c>
      <c r="C56" s="5" t="s">
        <v>336</v>
      </c>
      <c r="D56" s="5" t="s">
        <v>67</v>
      </c>
      <c r="E56" s="5">
        <v>8</v>
      </c>
      <c r="F56" s="5" t="s">
        <v>25</v>
      </c>
      <c r="G56" s="5" t="s">
        <v>337</v>
      </c>
      <c r="H56" s="5" t="s">
        <v>338</v>
      </c>
      <c r="I56" s="5" t="s">
        <v>339</v>
      </c>
      <c r="J56" s="6">
        <v>46196</v>
      </c>
      <c r="K56" s="5" t="s">
        <v>32</v>
      </c>
      <c r="L56" s="5">
        <v>2</v>
      </c>
      <c r="M56" s="6">
        <v>46197</v>
      </c>
      <c r="N56" s="5" t="s">
        <v>340</v>
      </c>
      <c r="O56" s="5" t="s">
        <v>957</v>
      </c>
      <c r="P56" s="5"/>
    </row>
    <row r="57" spans="1:16" ht="16" x14ac:dyDescent="0.2">
      <c r="A57" s="5" t="s">
        <v>341</v>
      </c>
      <c r="B57" s="5" t="s">
        <v>335</v>
      </c>
      <c r="C57" s="5" t="s">
        <v>342</v>
      </c>
      <c r="D57" s="5" t="s">
        <v>67</v>
      </c>
      <c r="E57" s="5">
        <v>8</v>
      </c>
      <c r="F57" s="5" t="s">
        <v>25</v>
      </c>
      <c r="G57" s="5" t="s">
        <v>343</v>
      </c>
      <c r="H57" s="5" t="s">
        <v>344</v>
      </c>
      <c r="I57" s="5" t="s">
        <v>339</v>
      </c>
      <c r="J57" s="6">
        <v>46197</v>
      </c>
      <c r="K57" s="5" t="s">
        <v>32</v>
      </c>
      <c r="L57" s="5">
        <v>2</v>
      </c>
      <c r="M57" s="6">
        <v>46198</v>
      </c>
      <c r="N57" s="5" t="s">
        <v>345</v>
      </c>
      <c r="O57" s="5" t="s">
        <v>958</v>
      </c>
      <c r="P57" s="5"/>
    </row>
    <row r="58" spans="1:16" ht="16" x14ac:dyDescent="0.2">
      <c r="A58" s="5" t="s">
        <v>346</v>
      </c>
      <c r="B58" s="5" t="s">
        <v>335</v>
      </c>
      <c r="C58" s="5" t="s">
        <v>347</v>
      </c>
      <c r="D58" s="5" t="s">
        <v>168</v>
      </c>
      <c r="E58" s="5">
        <v>5</v>
      </c>
      <c r="F58" s="5" t="s">
        <v>25</v>
      </c>
      <c r="G58" s="5" t="s">
        <v>348</v>
      </c>
      <c r="H58" s="5" t="s">
        <v>349</v>
      </c>
      <c r="I58" s="5" t="s">
        <v>339</v>
      </c>
      <c r="J58" s="6">
        <v>46198</v>
      </c>
      <c r="K58" s="5" t="s">
        <v>32</v>
      </c>
      <c r="L58" s="5">
        <v>2</v>
      </c>
      <c r="M58" s="6">
        <v>46199</v>
      </c>
      <c r="N58" s="5" t="s">
        <v>350</v>
      </c>
      <c r="O58" s="5" t="s">
        <v>959</v>
      </c>
      <c r="P58" s="5"/>
    </row>
    <row r="59" spans="1:16" ht="16" x14ac:dyDescent="0.2">
      <c r="A59" s="5" t="s">
        <v>351</v>
      </c>
      <c r="B59" s="5" t="s">
        <v>335</v>
      </c>
      <c r="C59" s="5" t="s">
        <v>352</v>
      </c>
      <c r="D59" s="5" t="s">
        <v>67</v>
      </c>
      <c r="E59" s="5">
        <v>8</v>
      </c>
      <c r="F59" s="5" t="s">
        <v>25</v>
      </c>
      <c r="G59" s="5" t="s">
        <v>353</v>
      </c>
      <c r="H59" s="5" t="s">
        <v>354</v>
      </c>
      <c r="I59" s="5" t="s">
        <v>339</v>
      </c>
      <c r="J59" s="6">
        <v>46199</v>
      </c>
      <c r="K59" s="5" t="s">
        <v>32</v>
      </c>
      <c r="L59" s="5">
        <v>2</v>
      </c>
      <c r="M59" s="6">
        <v>46200</v>
      </c>
      <c r="N59" s="5" t="s">
        <v>355</v>
      </c>
      <c r="O59" s="5" t="s">
        <v>356</v>
      </c>
      <c r="P59" s="5"/>
    </row>
    <row r="60" spans="1:16" ht="16" x14ac:dyDescent="0.2">
      <c r="A60" s="5" t="s">
        <v>357</v>
      </c>
      <c r="B60" s="5" t="s">
        <v>358</v>
      </c>
      <c r="C60" s="5" t="s">
        <v>359</v>
      </c>
      <c r="D60" s="5" t="s">
        <v>67</v>
      </c>
      <c r="E60" s="5">
        <v>5</v>
      </c>
      <c r="F60" s="5" t="s">
        <v>25</v>
      </c>
      <c r="G60" s="5" t="s">
        <v>360</v>
      </c>
      <c r="H60" s="5" t="s">
        <v>361</v>
      </c>
      <c r="I60" s="5" t="s">
        <v>55</v>
      </c>
      <c r="J60" s="6">
        <v>46201</v>
      </c>
      <c r="K60" s="5" t="s">
        <v>33</v>
      </c>
      <c r="L60" s="5">
        <v>2</v>
      </c>
      <c r="M60" s="6">
        <v>46202</v>
      </c>
      <c r="N60" s="5" t="s">
        <v>362</v>
      </c>
      <c r="O60" s="5" t="s">
        <v>363</v>
      </c>
      <c r="P60" s="5"/>
    </row>
    <row r="61" spans="1:16" ht="16" x14ac:dyDescent="0.2">
      <c r="A61" s="5" t="s">
        <v>364</v>
      </c>
      <c r="B61" s="5" t="s">
        <v>358</v>
      </c>
      <c r="C61" s="5" t="s">
        <v>365</v>
      </c>
      <c r="D61" s="5" t="s">
        <v>67</v>
      </c>
      <c r="E61" s="5">
        <v>3</v>
      </c>
      <c r="F61" s="5" t="s">
        <v>25</v>
      </c>
      <c r="G61" s="5" t="s">
        <v>366</v>
      </c>
      <c r="H61" s="5" t="s">
        <v>367</v>
      </c>
      <c r="I61" s="5" t="s">
        <v>55</v>
      </c>
      <c r="J61" s="6">
        <v>46202</v>
      </c>
      <c r="K61" s="5" t="s">
        <v>33</v>
      </c>
      <c r="L61" s="5">
        <v>1</v>
      </c>
      <c r="M61" s="6">
        <v>46202</v>
      </c>
      <c r="N61" s="5" t="s">
        <v>357</v>
      </c>
      <c r="O61" s="5" t="s">
        <v>368</v>
      </c>
      <c r="P61" s="5"/>
    </row>
    <row r="62" spans="1:16" ht="16" x14ac:dyDescent="0.2">
      <c r="A62" s="5" t="s">
        <v>369</v>
      </c>
      <c r="B62" s="5" t="s">
        <v>358</v>
      </c>
      <c r="C62" s="5" t="s">
        <v>370</v>
      </c>
      <c r="D62" s="5" t="s">
        <v>67</v>
      </c>
      <c r="E62" s="5">
        <v>5</v>
      </c>
      <c r="F62" s="5" t="s">
        <v>25</v>
      </c>
      <c r="G62" s="5" t="s">
        <v>371</v>
      </c>
      <c r="H62" s="5" t="s">
        <v>372</v>
      </c>
      <c r="I62" s="5" t="s">
        <v>55</v>
      </c>
      <c r="J62" s="6">
        <v>46202</v>
      </c>
      <c r="K62" s="5" t="s">
        <v>33</v>
      </c>
      <c r="L62" s="5">
        <v>2</v>
      </c>
      <c r="M62" s="6">
        <v>46203</v>
      </c>
      <c r="N62" s="5" t="s">
        <v>357</v>
      </c>
      <c r="O62" s="5" t="s">
        <v>960</v>
      </c>
      <c r="P62" s="5"/>
    </row>
    <row r="63" spans="1:16" ht="16" x14ac:dyDescent="0.2">
      <c r="A63" s="5" t="s">
        <v>373</v>
      </c>
      <c r="B63" s="5" t="s">
        <v>358</v>
      </c>
      <c r="C63" s="5" t="s">
        <v>374</v>
      </c>
      <c r="D63" s="5" t="s">
        <v>52</v>
      </c>
      <c r="E63" s="5">
        <v>5</v>
      </c>
      <c r="F63" s="5" t="s">
        <v>25</v>
      </c>
      <c r="G63" s="5" t="s">
        <v>375</v>
      </c>
      <c r="H63" s="5" t="s">
        <v>376</v>
      </c>
      <c r="I63" s="5" t="s">
        <v>55</v>
      </c>
      <c r="J63" s="6">
        <v>46203</v>
      </c>
      <c r="K63" s="5" t="s">
        <v>33</v>
      </c>
      <c r="L63" s="5">
        <v>2</v>
      </c>
      <c r="M63" s="6">
        <v>46204</v>
      </c>
      <c r="N63" s="5" t="s">
        <v>377</v>
      </c>
      <c r="O63" s="5" t="s">
        <v>378</v>
      </c>
      <c r="P63" s="5"/>
    </row>
    <row r="64" spans="1:16" ht="16" x14ac:dyDescent="0.2">
      <c r="A64" s="5" t="s">
        <v>379</v>
      </c>
      <c r="B64" s="5" t="s">
        <v>358</v>
      </c>
      <c r="C64" s="5" t="s">
        <v>380</v>
      </c>
      <c r="D64" s="5" t="s">
        <v>67</v>
      </c>
      <c r="E64" s="5">
        <v>3</v>
      </c>
      <c r="F64" s="5" t="s">
        <v>25</v>
      </c>
      <c r="G64" s="5" t="s">
        <v>381</v>
      </c>
      <c r="H64" s="5" t="s">
        <v>382</v>
      </c>
      <c r="I64" s="5" t="s">
        <v>55</v>
      </c>
      <c r="J64" s="6">
        <v>46205</v>
      </c>
      <c r="K64" s="5" t="s">
        <v>33</v>
      </c>
      <c r="L64" s="5">
        <v>1</v>
      </c>
      <c r="M64" s="6">
        <v>46205</v>
      </c>
      <c r="N64" s="5" t="s">
        <v>383</v>
      </c>
      <c r="O64" s="5" t="s">
        <v>384</v>
      </c>
      <c r="P64" s="5"/>
    </row>
    <row r="65" spans="1:16" ht="16" x14ac:dyDescent="0.2">
      <c r="A65" s="5" t="s">
        <v>385</v>
      </c>
      <c r="B65" s="5" t="s">
        <v>386</v>
      </c>
      <c r="C65" s="5" t="s">
        <v>387</v>
      </c>
      <c r="D65" s="5" t="s">
        <v>67</v>
      </c>
      <c r="E65" s="5">
        <v>3</v>
      </c>
      <c r="F65" s="5" t="s">
        <v>25</v>
      </c>
      <c r="G65" s="5" t="s">
        <v>388</v>
      </c>
      <c r="H65" s="5" t="s">
        <v>389</v>
      </c>
      <c r="I65" s="5" t="s">
        <v>390</v>
      </c>
      <c r="J65" s="6">
        <v>46206</v>
      </c>
      <c r="K65" s="5" t="s">
        <v>33</v>
      </c>
      <c r="L65" s="5">
        <v>1</v>
      </c>
      <c r="M65" s="6">
        <v>46206</v>
      </c>
      <c r="N65" s="5" t="s">
        <v>391</v>
      </c>
      <c r="O65" s="5" t="s">
        <v>392</v>
      </c>
      <c r="P65" s="5"/>
    </row>
    <row r="66" spans="1:16" ht="16" x14ac:dyDescent="0.2">
      <c r="A66" s="5" t="s">
        <v>393</v>
      </c>
      <c r="B66" s="5" t="s">
        <v>386</v>
      </c>
      <c r="C66" s="5" t="s">
        <v>394</v>
      </c>
      <c r="D66" s="5" t="s">
        <v>168</v>
      </c>
      <c r="E66" s="5">
        <v>3</v>
      </c>
      <c r="F66" s="5" t="s">
        <v>25</v>
      </c>
      <c r="G66" s="5" t="s">
        <v>395</v>
      </c>
      <c r="H66" s="5" t="s">
        <v>396</v>
      </c>
      <c r="I66" s="5" t="s">
        <v>390</v>
      </c>
      <c r="J66" s="6">
        <v>46206</v>
      </c>
      <c r="K66" s="5" t="s">
        <v>33</v>
      </c>
      <c r="L66" s="5">
        <v>2</v>
      </c>
      <c r="M66" s="6">
        <v>46207</v>
      </c>
      <c r="N66" s="5" t="s">
        <v>385</v>
      </c>
      <c r="O66" s="5" t="s">
        <v>397</v>
      </c>
      <c r="P66" s="5"/>
    </row>
    <row r="67" spans="1:16" ht="32" x14ac:dyDescent="0.2">
      <c r="A67" s="5" t="s">
        <v>398</v>
      </c>
      <c r="B67" s="5" t="s">
        <v>399</v>
      </c>
      <c r="C67" s="5" t="s">
        <v>400</v>
      </c>
      <c r="D67" s="5" t="s">
        <v>168</v>
      </c>
      <c r="E67" s="5">
        <v>3</v>
      </c>
      <c r="F67" s="5" t="s">
        <v>25</v>
      </c>
      <c r="G67" s="5" t="s">
        <v>401</v>
      </c>
      <c r="H67" s="5" t="s">
        <v>402</v>
      </c>
      <c r="I67" s="5" t="s">
        <v>390</v>
      </c>
      <c r="J67" s="6">
        <v>46208</v>
      </c>
      <c r="K67" s="5" t="s">
        <v>34</v>
      </c>
      <c r="L67" s="5">
        <v>2</v>
      </c>
      <c r="M67" s="6">
        <v>46209</v>
      </c>
      <c r="N67" s="5" t="s">
        <v>385</v>
      </c>
      <c r="O67" s="5" t="s">
        <v>403</v>
      </c>
      <c r="P67" s="5"/>
    </row>
    <row r="68" spans="1:16" ht="16" x14ac:dyDescent="0.2">
      <c r="A68" s="5" t="s">
        <v>404</v>
      </c>
      <c r="B68" s="5" t="s">
        <v>399</v>
      </c>
      <c r="C68" s="5" t="s">
        <v>405</v>
      </c>
      <c r="D68" s="5" t="s">
        <v>168</v>
      </c>
      <c r="E68" s="5">
        <v>5</v>
      </c>
      <c r="F68" s="5" t="s">
        <v>25</v>
      </c>
      <c r="G68" s="5" t="s">
        <v>406</v>
      </c>
      <c r="H68" s="5" t="s">
        <v>407</v>
      </c>
      <c r="I68" s="5" t="s">
        <v>80</v>
      </c>
      <c r="J68" s="6">
        <v>46210</v>
      </c>
      <c r="K68" s="5" t="s">
        <v>34</v>
      </c>
      <c r="L68" s="5">
        <v>2</v>
      </c>
      <c r="M68" s="6">
        <v>46211</v>
      </c>
      <c r="N68" s="5" t="s">
        <v>398</v>
      </c>
      <c r="O68" s="5" t="s">
        <v>408</v>
      </c>
      <c r="P68" s="5"/>
    </row>
    <row r="69" spans="1:16" ht="16" x14ac:dyDescent="0.2">
      <c r="A69" s="5" t="s">
        <v>409</v>
      </c>
      <c r="B69" s="5" t="s">
        <v>399</v>
      </c>
      <c r="C69" s="5" t="s">
        <v>410</v>
      </c>
      <c r="D69" s="5" t="s">
        <v>168</v>
      </c>
      <c r="E69" s="5">
        <v>5</v>
      </c>
      <c r="F69" s="5" t="s">
        <v>25</v>
      </c>
      <c r="G69" s="5" t="s">
        <v>411</v>
      </c>
      <c r="H69" s="5" t="s">
        <v>412</v>
      </c>
      <c r="I69" s="5" t="s">
        <v>59</v>
      </c>
      <c r="J69" s="6">
        <v>46212</v>
      </c>
      <c r="K69" s="5" t="s">
        <v>34</v>
      </c>
      <c r="L69" s="5">
        <v>2</v>
      </c>
      <c r="M69" s="6">
        <v>46213</v>
      </c>
      <c r="N69" s="5" t="s">
        <v>413</v>
      </c>
      <c r="O69" s="5" t="s">
        <v>961</v>
      </c>
      <c r="P69" s="5"/>
    </row>
    <row r="70" spans="1:16" ht="32" x14ac:dyDescent="0.2">
      <c r="A70" s="5" t="s">
        <v>414</v>
      </c>
      <c r="B70" s="5" t="s">
        <v>415</v>
      </c>
      <c r="C70" s="5" t="s">
        <v>416</v>
      </c>
      <c r="D70" s="5" t="s">
        <v>417</v>
      </c>
      <c r="E70" s="5">
        <v>8</v>
      </c>
      <c r="F70" s="5" t="s">
        <v>25</v>
      </c>
      <c r="G70" s="5" t="s">
        <v>418</v>
      </c>
      <c r="H70" s="5" t="s">
        <v>419</v>
      </c>
      <c r="I70" s="5" t="s">
        <v>182</v>
      </c>
      <c r="J70" s="6">
        <v>46214</v>
      </c>
      <c r="K70" s="5" t="s">
        <v>34</v>
      </c>
      <c r="L70" s="5">
        <v>3</v>
      </c>
      <c r="M70" s="6">
        <v>46216</v>
      </c>
      <c r="N70" s="5" t="s">
        <v>420</v>
      </c>
      <c r="O70" s="5" t="s">
        <v>962</v>
      </c>
      <c r="P70" s="5"/>
    </row>
    <row r="71" spans="1:16" ht="16" x14ac:dyDescent="0.2">
      <c r="A71" s="5" t="s">
        <v>421</v>
      </c>
      <c r="B71" s="5" t="s">
        <v>415</v>
      </c>
      <c r="C71" s="5" t="s">
        <v>422</v>
      </c>
      <c r="D71" s="5" t="s">
        <v>417</v>
      </c>
      <c r="E71" s="5">
        <v>5</v>
      </c>
      <c r="F71" s="5" t="s">
        <v>25</v>
      </c>
      <c r="G71" s="5" t="s">
        <v>423</v>
      </c>
      <c r="H71" s="5" t="s">
        <v>424</v>
      </c>
      <c r="I71" s="5" t="s">
        <v>182</v>
      </c>
      <c r="J71" s="6">
        <v>46215</v>
      </c>
      <c r="K71" s="5" t="s">
        <v>34</v>
      </c>
      <c r="L71" s="5">
        <v>2</v>
      </c>
      <c r="M71" s="6">
        <v>46216</v>
      </c>
      <c r="N71" s="5" t="s">
        <v>425</v>
      </c>
      <c r="O71" s="5" t="s">
        <v>952</v>
      </c>
      <c r="P71" s="5"/>
    </row>
    <row r="72" spans="1:16" ht="64" x14ac:dyDescent="0.2">
      <c r="A72" s="5" t="s">
        <v>903</v>
      </c>
      <c r="B72" s="5" t="s">
        <v>904</v>
      </c>
      <c r="C72" s="5" t="s">
        <v>905</v>
      </c>
      <c r="D72" s="5" t="s">
        <v>67</v>
      </c>
      <c r="E72" s="5">
        <v>3</v>
      </c>
      <c r="F72" s="5" t="s">
        <v>14</v>
      </c>
      <c r="G72" s="5" t="s">
        <v>906</v>
      </c>
      <c r="H72" s="5" t="s">
        <v>907</v>
      </c>
      <c r="I72" s="5" t="s">
        <v>55</v>
      </c>
      <c r="J72" s="6">
        <v>46230</v>
      </c>
      <c r="K72" s="5" t="s">
        <v>908</v>
      </c>
      <c r="L72" s="5">
        <v>1</v>
      </c>
      <c r="M72" s="6">
        <v>46230</v>
      </c>
      <c r="N72" s="5" t="s">
        <v>909</v>
      </c>
      <c r="O72" s="5" t="s">
        <v>910</v>
      </c>
      <c r="P72" s="5" t="s">
        <v>911</v>
      </c>
    </row>
    <row r="73" spans="1:16" ht="80" x14ac:dyDescent="0.2">
      <c r="A73" s="5" t="s">
        <v>963</v>
      </c>
      <c r="B73" s="5" t="s">
        <v>904</v>
      </c>
      <c r="C73" s="5" t="s">
        <v>964</v>
      </c>
      <c r="D73" s="5" t="s">
        <v>67</v>
      </c>
      <c r="E73" s="5">
        <v>3</v>
      </c>
      <c r="F73" s="5" t="s">
        <v>13</v>
      </c>
      <c r="G73" s="5" t="s">
        <v>965</v>
      </c>
      <c r="H73" s="5" t="s">
        <v>966</v>
      </c>
      <c r="I73" s="5" t="s">
        <v>55</v>
      </c>
      <c r="J73" s="6">
        <v>46230</v>
      </c>
      <c r="K73" s="5" t="s">
        <v>908</v>
      </c>
      <c r="L73" s="5">
        <v>1</v>
      </c>
      <c r="M73" s="6">
        <v>46230</v>
      </c>
      <c r="N73" s="5" t="s">
        <v>903</v>
      </c>
      <c r="O73" s="5" t="s">
        <v>967</v>
      </c>
      <c r="P73" s="5" t="s">
        <v>968</v>
      </c>
    </row>
    <row r="74" spans="1:16" ht="96" x14ac:dyDescent="0.2">
      <c r="A74" s="5" t="s">
        <v>1002</v>
      </c>
      <c r="B74" s="5" t="s">
        <v>904</v>
      </c>
      <c r="C74" s="5" t="s">
        <v>1003</v>
      </c>
      <c r="D74" s="5" t="s">
        <v>67</v>
      </c>
      <c r="E74" s="5">
        <v>5</v>
      </c>
      <c r="F74" s="5" t="s">
        <v>13</v>
      </c>
      <c r="G74" s="5" t="s">
        <v>1004</v>
      </c>
      <c r="H74" s="5" t="s">
        <v>1005</v>
      </c>
      <c r="I74" s="5" t="s">
        <v>55</v>
      </c>
      <c r="J74" s="6">
        <v>46230</v>
      </c>
      <c r="K74" s="5" t="s">
        <v>908</v>
      </c>
      <c r="L74" s="5">
        <v>2</v>
      </c>
      <c r="M74" s="6">
        <v>46231</v>
      </c>
      <c r="N74" s="5" t="s">
        <v>1006</v>
      </c>
      <c r="O74" s="5" t="s">
        <v>1007</v>
      </c>
      <c r="P74" s="5" t="s">
        <v>1008</v>
      </c>
    </row>
  </sheetData>
  <autoFilter ref="A1:P74" xr:uid="{00000000-0009-0000-0000-000002000000}"/>
  <conditionalFormatting sqref="F2:F74">
    <cfRule type="expression" dxfId="29" priority="1">
      <formula>$F2="Done"</formula>
    </cfRule>
    <cfRule type="expression" dxfId="28" priority="2">
      <formula>$F2="In Progress"</formula>
    </cfRule>
    <cfRule type="expression" dxfId="27" priority="3">
      <formula>$F2="Blocked"</formula>
    </cfRule>
    <cfRule type="expression" dxfId="26" priority="4">
      <formula>$F2="Review"</formula>
    </cfRule>
    <cfRule type="expression" dxfId="25" priority="5">
      <formula>$F2="Todo"</formula>
    </cfRule>
  </conditionalFormatting>
  <dataValidations count="3">
    <dataValidation type="list" allowBlank="1" sqref="D2:D74" xr:uid="{00000000-0002-0000-0200-000000000000}">
      <formula1>"Critical,High,Medium,Low"</formula1>
    </dataValidation>
    <dataValidation type="list" allowBlank="1" sqref="F2:F74" xr:uid="{00000000-0002-0000-0200-000001000000}">
      <formula1>"Todo,In Progress,Blocked,Review,Done"</formula1>
    </dataValidation>
    <dataValidation type="list" allowBlank="1" sqref="I2:I74" xr:uid="{00000000-0002-0000-0200-000002000000}">
      <formula1>"Frontend,Backend,Database,DevOps,QA,Product,Security"</formula1>
    </dataValidation>
  </dataValidations>
  <pageMargins left="0.75" right="0.75" top="1" bottom="1" header="0.5" footer="0.5"/>
  <pageSetup fitToHeight="0"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74"/>
  <sheetViews>
    <sheetView showGridLines="0" tabSelected="1" workbookViewId="0">
      <pane ySplit="1" topLeftCell="A2" activePane="bottomLeft" state="frozen"/>
      <selection pane="bottomLeft" activeCell="N16" sqref="N16"/>
    </sheetView>
  </sheetViews>
  <sheetFormatPr baseColWidth="10" defaultColWidth="8.83203125" defaultRowHeight="15" x14ac:dyDescent="0.2"/>
  <cols>
    <col min="1" max="2" width="12" customWidth="1"/>
    <col min="3" max="3" width="20" customWidth="1"/>
    <col min="4" max="4" width="34" customWidth="1"/>
    <col min="5" max="5" width="14" customWidth="1"/>
    <col min="6" max="6" width="12" customWidth="1"/>
    <col min="7" max="7" width="10" customWidth="1"/>
    <col min="8" max="8" width="14" customWidth="1"/>
    <col min="9" max="9" width="22" customWidth="1"/>
    <col min="10" max="10" width="50" customWidth="1"/>
  </cols>
  <sheetData>
    <row r="1" spans="1:10" ht="16" x14ac:dyDescent="0.2">
      <c r="A1" s="4" t="s">
        <v>18</v>
      </c>
      <c r="B1" s="4" t="s">
        <v>35</v>
      </c>
      <c r="C1" s="4" t="s">
        <v>36</v>
      </c>
      <c r="D1" s="4" t="s">
        <v>37</v>
      </c>
      <c r="E1" s="4" t="s">
        <v>426</v>
      </c>
      <c r="F1" s="4" t="s">
        <v>38</v>
      </c>
      <c r="G1" s="4" t="s">
        <v>20</v>
      </c>
      <c r="H1" s="4" t="s">
        <v>22</v>
      </c>
      <c r="I1" s="4" t="s">
        <v>46</v>
      </c>
      <c r="J1" s="4" t="s">
        <v>41</v>
      </c>
    </row>
    <row r="2" spans="1:10" ht="32" x14ac:dyDescent="0.2">
      <c r="A2" s="5" t="s">
        <v>24</v>
      </c>
      <c r="B2" s="5" t="s">
        <v>49</v>
      </c>
      <c r="C2" s="5" t="s">
        <v>50</v>
      </c>
      <c r="D2" s="5" t="s">
        <v>51</v>
      </c>
      <c r="E2" s="5" t="s">
        <v>55</v>
      </c>
      <c r="F2" s="5" t="s">
        <v>52</v>
      </c>
      <c r="G2" s="5">
        <v>3</v>
      </c>
      <c r="H2" s="5" t="s">
        <v>13</v>
      </c>
      <c r="I2" s="5"/>
      <c r="J2" s="5" t="s">
        <v>54</v>
      </c>
    </row>
    <row r="3" spans="1:10" ht="112" x14ac:dyDescent="0.2">
      <c r="A3" s="5" t="s">
        <v>24</v>
      </c>
      <c r="B3" s="5" t="s">
        <v>57</v>
      </c>
      <c r="C3" s="5" t="s">
        <v>50</v>
      </c>
      <c r="D3" s="5" t="s">
        <v>58</v>
      </c>
      <c r="E3" s="5" t="s">
        <v>59</v>
      </c>
      <c r="F3" s="5" t="s">
        <v>52</v>
      </c>
      <c r="G3" s="5">
        <v>5</v>
      </c>
      <c r="H3" s="5" t="s">
        <v>13</v>
      </c>
      <c r="I3" s="5" t="s">
        <v>49</v>
      </c>
      <c r="J3" s="5" t="s">
        <v>1015</v>
      </c>
    </row>
    <row r="4" spans="1:10" ht="16" x14ac:dyDescent="0.2">
      <c r="A4" s="5" t="s">
        <v>24</v>
      </c>
      <c r="B4" s="5" t="s">
        <v>60</v>
      </c>
      <c r="C4" s="5" t="s">
        <v>50</v>
      </c>
      <c r="D4" s="5" t="s">
        <v>61</v>
      </c>
      <c r="E4" s="5" t="s">
        <v>64</v>
      </c>
      <c r="F4" s="5" t="s">
        <v>52</v>
      </c>
      <c r="G4" s="5">
        <v>5</v>
      </c>
      <c r="H4" s="5" t="s">
        <v>13</v>
      </c>
      <c r="I4" s="5" t="s">
        <v>49</v>
      </c>
      <c r="J4" s="5" t="s">
        <v>63</v>
      </c>
    </row>
    <row r="5" spans="1:10" ht="16" x14ac:dyDescent="0.2">
      <c r="A5" s="5" t="s">
        <v>24</v>
      </c>
      <c r="B5" s="5" t="s">
        <v>65</v>
      </c>
      <c r="C5" s="5" t="s">
        <v>50</v>
      </c>
      <c r="D5" s="5" t="s">
        <v>66</v>
      </c>
      <c r="E5" s="5" t="s">
        <v>55</v>
      </c>
      <c r="F5" s="5" t="s">
        <v>67</v>
      </c>
      <c r="G5" s="5">
        <v>3</v>
      </c>
      <c r="H5" s="5" t="s">
        <v>13</v>
      </c>
      <c r="I5" s="5" t="s">
        <v>70</v>
      </c>
      <c r="J5" s="5" t="s">
        <v>69</v>
      </c>
    </row>
    <row r="6" spans="1:10" ht="16" x14ac:dyDescent="0.2">
      <c r="A6" s="5" t="s">
        <v>24</v>
      </c>
      <c r="B6" s="5" t="s">
        <v>71</v>
      </c>
      <c r="C6" s="5" t="s">
        <v>50</v>
      </c>
      <c r="D6" s="5" t="s">
        <v>72</v>
      </c>
      <c r="E6" s="5" t="s">
        <v>55</v>
      </c>
      <c r="F6" s="5" t="s">
        <v>67</v>
      </c>
      <c r="G6" s="5">
        <v>3</v>
      </c>
      <c r="H6" s="5" t="s">
        <v>25</v>
      </c>
      <c r="I6" s="5" t="s">
        <v>70</v>
      </c>
      <c r="J6" s="5" t="s">
        <v>74</v>
      </c>
    </row>
    <row r="7" spans="1:10" ht="32" x14ac:dyDescent="0.2">
      <c r="A7" s="5" t="s">
        <v>24</v>
      </c>
      <c r="B7" s="5" t="s">
        <v>75</v>
      </c>
      <c r="C7" s="5" t="s">
        <v>76</v>
      </c>
      <c r="D7" s="5" t="s">
        <v>77</v>
      </c>
      <c r="E7" s="5" t="s">
        <v>80</v>
      </c>
      <c r="F7" s="5" t="s">
        <v>52</v>
      </c>
      <c r="G7" s="5">
        <v>3</v>
      </c>
      <c r="H7" s="5" t="s">
        <v>13</v>
      </c>
      <c r="I7" s="5" t="s">
        <v>65</v>
      </c>
      <c r="J7" s="5" t="s">
        <v>79</v>
      </c>
    </row>
    <row r="8" spans="1:10" ht="16" x14ac:dyDescent="0.2">
      <c r="A8" s="5" t="s">
        <v>24</v>
      </c>
      <c r="B8" s="5" t="s">
        <v>82</v>
      </c>
      <c r="C8" s="5" t="s">
        <v>76</v>
      </c>
      <c r="D8" s="5" t="s">
        <v>83</v>
      </c>
      <c r="E8" s="5" t="s">
        <v>80</v>
      </c>
      <c r="F8" s="5" t="s">
        <v>67</v>
      </c>
      <c r="G8" s="5">
        <v>5</v>
      </c>
      <c r="H8" s="5" t="s">
        <v>13</v>
      </c>
      <c r="I8" s="5" t="s">
        <v>75</v>
      </c>
      <c r="J8" s="5" t="s">
        <v>85</v>
      </c>
    </row>
    <row r="9" spans="1:10" ht="16" x14ac:dyDescent="0.2">
      <c r="A9" s="5" t="s">
        <v>24</v>
      </c>
      <c r="B9" s="5" t="s">
        <v>87</v>
      </c>
      <c r="C9" s="5" t="s">
        <v>88</v>
      </c>
      <c r="D9" s="5" t="s">
        <v>89</v>
      </c>
      <c r="E9" s="5" t="s">
        <v>64</v>
      </c>
      <c r="F9" s="5" t="s">
        <v>67</v>
      </c>
      <c r="G9" s="5">
        <v>3</v>
      </c>
      <c r="H9" s="5" t="s">
        <v>13</v>
      </c>
      <c r="I9" s="5" t="s">
        <v>60</v>
      </c>
      <c r="J9" s="5" t="s">
        <v>91</v>
      </c>
    </row>
    <row r="10" spans="1:10" ht="32" x14ac:dyDescent="0.2">
      <c r="A10" s="5" t="s">
        <v>24</v>
      </c>
      <c r="B10" s="5" t="s">
        <v>92</v>
      </c>
      <c r="C10" s="5" t="s">
        <v>88</v>
      </c>
      <c r="D10" s="5" t="s">
        <v>93</v>
      </c>
      <c r="E10" s="5" t="s">
        <v>59</v>
      </c>
      <c r="F10" s="5" t="s">
        <v>67</v>
      </c>
      <c r="G10" s="5">
        <v>5</v>
      </c>
      <c r="H10" s="5" t="s">
        <v>13</v>
      </c>
      <c r="I10" s="5" t="s">
        <v>57</v>
      </c>
      <c r="J10" s="5" t="s">
        <v>95</v>
      </c>
    </row>
    <row r="11" spans="1:10" ht="16" x14ac:dyDescent="0.2">
      <c r="A11" s="5" t="s">
        <v>26</v>
      </c>
      <c r="B11" s="5" t="s">
        <v>96</v>
      </c>
      <c r="C11" s="5" t="s">
        <v>97</v>
      </c>
      <c r="D11" s="5" t="s">
        <v>98</v>
      </c>
      <c r="E11" s="5" t="s">
        <v>80</v>
      </c>
      <c r="F11" s="5" t="s">
        <v>52</v>
      </c>
      <c r="G11" s="5">
        <v>5</v>
      </c>
      <c r="H11" s="5" t="s">
        <v>13</v>
      </c>
      <c r="I11" s="5" t="s">
        <v>82</v>
      </c>
      <c r="J11" s="5" t="s">
        <v>100</v>
      </c>
    </row>
    <row r="12" spans="1:10" ht="16" x14ac:dyDescent="0.2">
      <c r="A12" s="5" t="s">
        <v>26</v>
      </c>
      <c r="B12" s="5" t="s">
        <v>102</v>
      </c>
      <c r="C12" s="5" t="s">
        <v>97</v>
      </c>
      <c r="D12" s="5" t="s">
        <v>103</v>
      </c>
      <c r="E12" s="5" t="s">
        <v>80</v>
      </c>
      <c r="F12" s="5" t="s">
        <v>52</v>
      </c>
      <c r="G12" s="5">
        <v>5</v>
      </c>
      <c r="H12" s="5" t="s">
        <v>13</v>
      </c>
      <c r="I12" s="5" t="s">
        <v>96</v>
      </c>
      <c r="J12" s="5" t="s">
        <v>105</v>
      </c>
    </row>
    <row r="13" spans="1:10" ht="16" x14ac:dyDescent="0.2">
      <c r="A13" s="5" t="s">
        <v>26</v>
      </c>
      <c r="B13" s="5" t="s">
        <v>107</v>
      </c>
      <c r="C13" s="5" t="s">
        <v>97</v>
      </c>
      <c r="D13" s="5" t="s">
        <v>108</v>
      </c>
      <c r="E13" s="5" t="s">
        <v>80</v>
      </c>
      <c r="F13" s="5" t="s">
        <v>67</v>
      </c>
      <c r="G13" s="5">
        <v>3</v>
      </c>
      <c r="H13" s="5" t="s">
        <v>25</v>
      </c>
      <c r="I13" s="5" t="s">
        <v>96</v>
      </c>
      <c r="J13" s="5" t="s">
        <v>110</v>
      </c>
    </row>
    <row r="14" spans="1:10" ht="16" x14ac:dyDescent="0.2">
      <c r="A14" s="5" t="s">
        <v>26</v>
      </c>
      <c r="B14" s="5" t="s">
        <v>112</v>
      </c>
      <c r="C14" s="5" t="s">
        <v>97</v>
      </c>
      <c r="D14" s="5" t="s">
        <v>113</v>
      </c>
      <c r="E14" s="5" t="s">
        <v>80</v>
      </c>
      <c r="F14" s="5" t="s">
        <v>67</v>
      </c>
      <c r="G14" s="5">
        <v>3</v>
      </c>
      <c r="H14" s="5" t="s">
        <v>25</v>
      </c>
      <c r="I14" s="5" t="s">
        <v>102</v>
      </c>
      <c r="J14" s="5" t="s">
        <v>115</v>
      </c>
    </row>
    <row r="15" spans="1:10" ht="32" x14ac:dyDescent="0.2">
      <c r="A15" s="5" t="s">
        <v>26</v>
      </c>
      <c r="B15" s="5" t="s">
        <v>117</v>
      </c>
      <c r="C15" s="5" t="s">
        <v>118</v>
      </c>
      <c r="D15" s="5" t="s">
        <v>119</v>
      </c>
      <c r="E15" s="5" t="s">
        <v>122</v>
      </c>
      <c r="F15" s="5" t="s">
        <v>52</v>
      </c>
      <c r="G15" s="5">
        <v>8</v>
      </c>
      <c r="H15" s="5" t="s">
        <v>25</v>
      </c>
      <c r="I15" s="5" t="s">
        <v>123</v>
      </c>
      <c r="J15" s="5" t="s">
        <v>121</v>
      </c>
    </row>
    <row r="16" spans="1:10" ht="16" x14ac:dyDescent="0.2">
      <c r="A16" s="5" t="s">
        <v>26</v>
      </c>
      <c r="B16" s="5" t="s">
        <v>125</v>
      </c>
      <c r="C16" s="5" t="s">
        <v>88</v>
      </c>
      <c r="D16" s="5" t="s">
        <v>126</v>
      </c>
      <c r="E16" s="5" t="s">
        <v>64</v>
      </c>
      <c r="F16" s="5" t="s">
        <v>52</v>
      </c>
      <c r="G16" s="5">
        <v>8</v>
      </c>
      <c r="H16" s="5" t="s">
        <v>13</v>
      </c>
      <c r="I16" s="5" t="s">
        <v>129</v>
      </c>
      <c r="J16" s="5" t="s">
        <v>128</v>
      </c>
    </row>
    <row r="17" spans="1:10" ht="32" x14ac:dyDescent="0.2">
      <c r="A17" s="5" t="s">
        <v>26</v>
      </c>
      <c r="B17" s="5" t="s">
        <v>130</v>
      </c>
      <c r="C17" s="5" t="s">
        <v>88</v>
      </c>
      <c r="D17" s="5" t="s">
        <v>131</v>
      </c>
      <c r="E17" s="5" t="s">
        <v>64</v>
      </c>
      <c r="F17" s="5" t="s">
        <v>52</v>
      </c>
      <c r="G17" s="5">
        <v>5</v>
      </c>
      <c r="H17" s="5" t="s">
        <v>13</v>
      </c>
      <c r="I17" s="5" t="s">
        <v>134</v>
      </c>
      <c r="J17" s="5" t="s">
        <v>133</v>
      </c>
    </row>
    <row r="18" spans="1:10" ht="16" x14ac:dyDescent="0.2">
      <c r="A18" s="5" t="s">
        <v>26</v>
      </c>
      <c r="B18" s="5" t="s">
        <v>135</v>
      </c>
      <c r="C18" s="5" t="s">
        <v>136</v>
      </c>
      <c r="D18" s="5" t="s">
        <v>137</v>
      </c>
      <c r="E18" s="5" t="s">
        <v>59</v>
      </c>
      <c r="F18" s="5" t="s">
        <v>67</v>
      </c>
      <c r="G18" s="5">
        <v>5</v>
      </c>
      <c r="H18" s="5" t="s">
        <v>25</v>
      </c>
      <c r="I18" s="5" t="s">
        <v>140</v>
      </c>
      <c r="J18" s="5" t="s">
        <v>139</v>
      </c>
    </row>
    <row r="19" spans="1:10" ht="16" x14ac:dyDescent="0.2">
      <c r="A19" s="5" t="s">
        <v>26</v>
      </c>
      <c r="B19" s="5" t="s">
        <v>141</v>
      </c>
      <c r="C19" s="5" t="s">
        <v>142</v>
      </c>
      <c r="D19" s="5" t="s">
        <v>143</v>
      </c>
      <c r="E19" s="5" t="s">
        <v>64</v>
      </c>
      <c r="F19" s="5" t="s">
        <v>52</v>
      </c>
      <c r="G19" s="5">
        <v>5</v>
      </c>
      <c r="H19" s="5" t="s">
        <v>25</v>
      </c>
      <c r="I19" s="5" t="s">
        <v>130</v>
      </c>
      <c r="J19" s="5" t="s">
        <v>145</v>
      </c>
    </row>
    <row r="20" spans="1:10" ht="16" x14ac:dyDescent="0.2">
      <c r="A20" s="5" t="s">
        <v>27</v>
      </c>
      <c r="B20" s="5" t="s">
        <v>146</v>
      </c>
      <c r="C20" s="5" t="s">
        <v>147</v>
      </c>
      <c r="D20" s="5" t="s">
        <v>148</v>
      </c>
      <c r="E20" s="5" t="s">
        <v>80</v>
      </c>
      <c r="F20" s="5" t="s">
        <v>67</v>
      </c>
      <c r="G20" s="5">
        <v>3</v>
      </c>
      <c r="H20" s="5" t="s">
        <v>25</v>
      </c>
      <c r="I20" s="5" t="s">
        <v>117</v>
      </c>
      <c r="J20" s="5" t="s">
        <v>150</v>
      </c>
    </row>
    <row r="21" spans="1:10" ht="16" x14ac:dyDescent="0.2">
      <c r="A21" s="5" t="s">
        <v>27</v>
      </c>
      <c r="B21" s="5" t="s">
        <v>152</v>
      </c>
      <c r="C21" s="5" t="s">
        <v>147</v>
      </c>
      <c r="D21" s="5" t="s">
        <v>153</v>
      </c>
      <c r="E21" s="5" t="s">
        <v>64</v>
      </c>
      <c r="F21" s="5" t="s">
        <v>67</v>
      </c>
      <c r="G21" s="5">
        <v>5</v>
      </c>
      <c r="H21" s="5" t="s">
        <v>25</v>
      </c>
      <c r="I21" s="5" t="s">
        <v>156</v>
      </c>
      <c r="J21" s="5" t="s">
        <v>155</v>
      </c>
    </row>
    <row r="22" spans="1:10" ht="16" x14ac:dyDescent="0.2">
      <c r="A22" s="5" t="s">
        <v>27</v>
      </c>
      <c r="B22" s="5" t="s">
        <v>157</v>
      </c>
      <c r="C22" s="5" t="s">
        <v>147</v>
      </c>
      <c r="D22" s="5" t="s">
        <v>158</v>
      </c>
      <c r="E22" s="5" t="s">
        <v>64</v>
      </c>
      <c r="F22" s="5" t="s">
        <v>67</v>
      </c>
      <c r="G22" s="5">
        <v>5</v>
      </c>
      <c r="H22" s="5" t="s">
        <v>25</v>
      </c>
      <c r="I22" s="5" t="s">
        <v>152</v>
      </c>
      <c r="J22" s="5" t="s">
        <v>160</v>
      </c>
    </row>
    <row r="23" spans="1:10" ht="16" x14ac:dyDescent="0.2">
      <c r="A23" s="5" t="s">
        <v>27</v>
      </c>
      <c r="B23" s="5" t="s">
        <v>161</v>
      </c>
      <c r="C23" s="5" t="s">
        <v>162</v>
      </c>
      <c r="D23" s="5" t="s">
        <v>163</v>
      </c>
      <c r="E23" s="5" t="s">
        <v>64</v>
      </c>
      <c r="F23" s="5" t="s">
        <v>67</v>
      </c>
      <c r="G23" s="5">
        <v>3</v>
      </c>
      <c r="H23" s="5" t="s">
        <v>25</v>
      </c>
      <c r="I23" s="5" t="s">
        <v>141</v>
      </c>
      <c r="J23" s="5" t="s">
        <v>165</v>
      </c>
    </row>
    <row r="24" spans="1:10" ht="16" x14ac:dyDescent="0.2">
      <c r="A24" s="5" t="s">
        <v>27</v>
      </c>
      <c r="B24" s="5" t="s">
        <v>166</v>
      </c>
      <c r="C24" s="5" t="s">
        <v>162</v>
      </c>
      <c r="D24" s="5" t="s">
        <v>167</v>
      </c>
      <c r="E24" s="5" t="s">
        <v>59</v>
      </c>
      <c r="F24" s="5" t="s">
        <v>168</v>
      </c>
      <c r="G24" s="5">
        <v>5</v>
      </c>
      <c r="H24" s="5" t="s">
        <v>25</v>
      </c>
      <c r="I24" s="5" t="s">
        <v>171</v>
      </c>
      <c r="J24" s="5" t="s">
        <v>170</v>
      </c>
    </row>
    <row r="25" spans="1:10" ht="16" x14ac:dyDescent="0.2">
      <c r="A25" s="5" t="s">
        <v>27</v>
      </c>
      <c r="B25" s="5" t="s">
        <v>172</v>
      </c>
      <c r="C25" s="5" t="s">
        <v>173</v>
      </c>
      <c r="D25" s="5" t="s">
        <v>174</v>
      </c>
      <c r="E25" s="5" t="s">
        <v>59</v>
      </c>
      <c r="F25" s="5" t="s">
        <v>67</v>
      </c>
      <c r="G25" s="5">
        <v>5</v>
      </c>
      <c r="H25" s="5" t="s">
        <v>25</v>
      </c>
      <c r="I25" s="5" t="s">
        <v>135</v>
      </c>
      <c r="J25" s="5" t="s">
        <v>176</v>
      </c>
    </row>
    <row r="26" spans="1:10" ht="16" x14ac:dyDescent="0.2">
      <c r="A26" s="5" t="s">
        <v>27</v>
      </c>
      <c r="B26" s="5" t="s">
        <v>177</v>
      </c>
      <c r="C26" s="5" t="s">
        <v>178</v>
      </c>
      <c r="D26" s="5" t="s">
        <v>179</v>
      </c>
      <c r="E26" s="5" t="s">
        <v>182</v>
      </c>
      <c r="F26" s="5" t="s">
        <v>168</v>
      </c>
      <c r="G26" s="5">
        <v>5</v>
      </c>
      <c r="H26" s="5" t="s">
        <v>25</v>
      </c>
      <c r="I26" s="5" t="s">
        <v>183</v>
      </c>
      <c r="J26" s="5" t="s">
        <v>181</v>
      </c>
    </row>
    <row r="27" spans="1:10" ht="16" x14ac:dyDescent="0.2">
      <c r="A27" s="5" t="s">
        <v>28</v>
      </c>
      <c r="B27" s="5" t="s">
        <v>184</v>
      </c>
      <c r="C27" s="5" t="s">
        <v>185</v>
      </c>
      <c r="D27" s="5" t="s">
        <v>186</v>
      </c>
      <c r="E27" s="5" t="s">
        <v>80</v>
      </c>
      <c r="F27" s="5" t="s">
        <v>52</v>
      </c>
      <c r="G27" s="5">
        <v>5</v>
      </c>
      <c r="H27" s="5" t="s">
        <v>25</v>
      </c>
      <c r="I27" s="5" t="s">
        <v>117</v>
      </c>
      <c r="J27" s="5" t="s">
        <v>188</v>
      </c>
    </row>
    <row r="28" spans="1:10" ht="16" x14ac:dyDescent="0.2">
      <c r="A28" s="5" t="s">
        <v>28</v>
      </c>
      <c r="B28" s="5" t="s">
        <v>190</v>
      </c>
      <c r="C28" s="5" t="s">
        <v>185</v>
      </c>
      <c r="D28" s="5" t="s">
        <v>191</v>
      </c>
      <c r="E28" s="5" t="s">
        <v>80</v>
      </c>
      <c r="F28" s="5" t="s">
        <v>67</v>
      </c>
      <c r="G28" s="5">
        <v>3</v>
      </c>
      <c r="H28" s="5" t="s">
        <v>25</v>
      </c>
      <c r="I28" s="5" t="s">
        <v>184</v>
      </c>
      <c r="J28" s="5" t="s">
        <v>193</v>
      </c>
    </row>
    <row r="29" spans="1:10" ht="16" x14ac:dyDescent="0.2">
      <c r="A29" s="5" t="s">
        <v>28</v>
      </c>
      <c r="B29" s="5" t="s">
        <v>195</v>
      </c>
      <c r="C29" s="5" t="s">
        <v>196</v>
      </c>
      <c r="D29" s="5" t="s">
        <v>197</v>
      </c>
      <c r="E29" s="5" t="s">
        <v>64</v>
      </c>
      <c r="F29" s="5" t="s">
        <v>67</v>
      </c>
      <c r="G29" s="5">
        <v>3</v>
      </c>
      <c r="H29" s="5" t="s">
        <v>25</v>
      </c>
      <c r="I29" s="5" t="s">
        <v>184</v>
      </c>
      <c r="J29" s="5" t="s">
        <v>199</v>
      </c>
    </row>
    <row r="30" spans="1:10" ht="32" x14ac:dyDescent="0.2">
      <c r="A30" s="5" t="s">
        <v>28</v>
      </c>
      <c r="B30" s="5" t="s">
        <v>200</v>
      </c>
      <c r="C30" s="5" t="s">
        <v>196</v>
      </c>
      <c r="D30" s="5" t="s">
        <v>201</v>
      </c>
      <c r="E30" s="5" t="s">
        <v>64</v>
      </c>
      <c r="F30" s="5" t="s">
        <v>52</v>
      </c>
      <c r="G30" s="5">
        <v>8</v>
      </c>
      <c r="H30" s="5" t="s">
        <v>25</v>
      </c>
      <c r="I30" s="5" t="s">
        <v>204</v>
      </c>
      <c r="J30" s="5" t="s">
        <v>203</v>
      </c>
    </row>
    <row r="31" spans="1:10" ht="16" x14ac:dyDescent="0.2">
      <c r="A31" s="5" t="s">
        <v>28</v>
      </c>
      <c r="B31" s="5" t="s">
        <v>205</v>
      </c>
      <c r="C31" s="5" t="s">
        <v>196</v>
      </c>
      <c r="D31" s="5" t="s">
        <v>206</v>
      </c>
      <c r="E31" s="5" t="s">
        <v>64</v>
      </c>
      <c r="F31" s="5" t="s">
        <v>52</v>
      </c>
      <c r="G31" s="5">
        <v>8</v>
      </c>
      <c r="H31" s="5" t="s">
        <v>25</v>
      </c>
      <c r="I31" s="5" t="s">
        <v>200</v>
      </c>
      <c r="J31" s="5" t="s">
        <v>208</v>
      </c>
    </row>
    <row r="32" spans="1:10" ht="16" x14ac:dyDescent="0.2">
      <c r="A32" s="5" t="s">
        <v>28</v>
      </c>
      <c r="B32" s="5" t="s">
        <v>209</v>
      </c>
      <c r="C32" s="5" t="s">
        <v>196</v>
      </c>
      <c r="D32" s="5" t="s">
        <v>210</v>
      </c>
      <c r="E32" s="5" t="s">
        <v>64</v>
      </c>
      <c r="F32" s="5" t="s">
        <v>67</v>
      </c>
      <c r="G32" s="5">
        <v>5</v>
      </c>
      <c r="H32" s="5" t="s">
        <v>25</v>
      </c>
      <c r="I32" s="5" t="s">
        <v>205</v>
      </c>
      <c r="J32" s="5" t="s">
        <v>212</v>
      </c>
    </row>
    <row r="33" spans="1:10" ht="16" x14ac:dyDescent="0.2">
      <c r="A33" s="5" t="s">
        <v>28</v>
      </c>
      <c r="B33" s="5" t="s">
        <v>213</v>
      </c>
      <c r="C33" s="5" t="s">
        <v>196</v>
      </c>
      <c r="D33" s="5" t="s">
        <v>214</v>
      </c>
      <c r="E33" s="5" t="s">
        <v>64</v>
      </c>
      <c r="F33" s="5" t="s">
        <v>52</v>
      </c>
      <c r="G33" s="5">
        <v>8</v>
      </c>
      <c r="H33" s="5" t="s">
        <v>25</v>
      </c>
      <c r="I33" s="5" t="s">
        <v>217</v>
      </c>
      <c r="J33" s="5" t="s">
        <v>216</v>
      </c>
    </row>
    <row r="34" spans="1:10" ht="16" x14ac:dyDescent="0.2">
      <c r="A34" s="5" t="s">
        <v>28</v>
      </c>
      <c r="B34" s="5" t="s">
        <v>218</v>
      </c>
      <c r="C34" s="5" t="s">
        <v>219</v>
      </c>
      <c r="D34" s="5" t="s">
        <v>220</v>
      </c>
      <c r="E34" s="5" t="s">
        <v>59</v>
      </c>
      <c r="F34" s="5" t="s">
        <v>67</v>
      </c>
      <c r="G34" s="5">
        <v>5</v>
      </c>
      <c r="H34" s="5" t="s">
        <v>25</v>
      </c>
      <c r="I34" s="5" t="s">
        <v>223</v>
      </c>
      <c r="J34" s="5" t="s">
        <v>222</v>
      </c>
    </row>
    <row r="35" spans="1:10" ht="16" x14ac:dyDescent="0.2">
      <c r="A35" s="5" t="s">
        <v>28</v>
      </c>
      <c r="B35" s="5" t="s">
        <v>224</v>
      </c>
      <c r="C35" s="5" t="s">
        <v>219</v>
      </c>
      <c r="D35" s="5" t="s">
        <v>225</v>
      </c>
      <c r="E35" s="5" t="s">
        <v>59</v>
      </c>
      <c r="F35" s="5" t="s">
        <v>67</v>
      </c>
      <c r="G35" s="5">
        <v>8</v>
      </c>
      <c r="H35" s="5" t="s">
        <v>25</v>
      </c>
      <c r="I35" s="5" t="s">
        <v>228</v>
      </c>
      <c r="J35" s="5" t="s">
        <v>227</v>
      </c>
    </row>
    <row r="36" spans="1:10" ht="16" x14ac:dyDescent="0.2">
      <c r="A36" s="5" t="s">
        <v>28</v>
      </c>
      <c r="B36" s="5" t="s">
        <v>229</v>
      </c>
      <c r="C36" s="5" t="s">
        <v>219</v>
      </c>
      <c r="D36" s="5" t="s">
        <v>230</v>
      </c>
      <c r="E36" s="5" t="s">
        <v>59</v>
      </c>
      <c r="F36" s="5" t="s">
        <v>67</v>
      </c>
      <c r="G36" s="5">
        <v>5</v>
      </c>
      <c r="H36" s="5" t="s">
        <v>25</v>
      </c>
      <c r="I36" s="5" t="s">
        <v>233</v>
      </c>
      <c r="J36" s="5" t="s">
        <v>232</v>
      </c>
    </row>
    <row r="37" spans="1:10" ht="32" x14ac:dyDescent="0.2">
      <c r="A37" s="5" t="s">
        <v>30</v>
      </c>
      <c r="B37" s="5" t="s">
        <v>234</v>
      </c>
      <c r="C37" s="5" t="s">
        <v>235</v>
      </c>
      <c r="D37" s="5" t="s">
        <v>236</v>
      </c>
      <c r="E37" s="5" t="s">
        <v>80</v>
      </c>
      <c r="F37" s="5" t="s">
        <v>52</v>
      </c>
      <c r="G37" s="5">
        <v>5</v>
      </c>
      <c r="H37" s="5" t="s">
        <v>25</v>
      </c>
      <c r="I37" s="5" t="s">
        <v>117</v>
      </c>
      <c r="J37" s="5" t="s">
        <v>238</v>
      </c>
    </row>
    <row r="38" spans="1:10" ht="16" x14ac:dyDescent="0.2">
      <c r="A38" s="5" t="s">
        <v>30</v>
      </c>
      <c r="B38" s="5" t="s">
        <v>240</v>
      </c>
      <c r="C38" s="5" t="s">
        <v>241</v>
      </c>
      <c r="D38" s="5" t="s">
        <v>242</v>
      </c>
      <c r="E38" s="5" t="s">
        <v>64</v>
      </c>
      <c r="F38" s="5" t="s">
        <v>67</v>
      </c>
      <c r="G38" s="5">
        <v>8</v>
      </c>
      <c r="H38" s="5" t="s">
        <v>25</v>
      </c>
      <c r="I38" s="5" t="s">
        <v>245</v>
      </c>
      <c r="J38" s="5" t="s">
        <v>244</v>
      </c>
    </row>
    <row r="39" spans="1:10" ht="16" x14ac:dyDescent="0.2">
      <c r="A39" s="5" t="s">
        <v>30</v>
      </c>
      <c r="B39" s="5" t="s">
        <v>246</v>
      </c>
      <c r="C39" s="5" t="s">
        <v>241</v>
      </c>
      <c r="D39" s="5" t="s">
        <v>247</v>
      </c>
      <c r="E39" s="5" t="s">
        <v>64</v>
      </c>
      <c r="F39" s="5" t="s">
        <v>67</v>
      </c>
      <c r="G39" s="5">
        <v>5</v>
      </c>
      <c r="H39" s="5" t="s">
        <v>25</v>
      </c>
      <c r="I39" s="5" t="s">
        <v>240</v>
      </c>
      <c r="J39" s="5" t="s">
        <v>249</v>
      </c>
    </row>
    <row r="40" spans="1:10" ht="16" x14ac:dyDescent="0.2">
      <c r="A40" s="5" t="s">
        <v>30</v>
      </c>
      <c r="B40" s="5" t="s">
        <v>250</v>
      </c>
      <c r="C40" s="5" t="s">
        <v>251</v>
      </c>
      <c r="D40" s="5" t="s">
        <v>252</v>
      </c>
      <c r="E40" s="5" t="s">
        <v>59</v>
      </c>
      <c r="F40" s="5" t="s">
        <v>67</v>
      </c>
      <c r="G40" s="5">
        <v>8</v>
      </c>
      <c r="H40" s="5" t="s">
        <v>25</v>
      </c>
      <c r="I40" s="5" t="s">
        <v>240</v>
      </c>
      <c r="J40" s="5" t="s">
        <v>254</v>
      </c>
    </row>
    <row r="41" spans="1:10" ht="16" x14ac:dyDescent="0.2">
      <c r="A41" s="5" t="s">
        <v>30</v>
      </c>
      <c r="B41" s="5" t="s">
        <v>255</v>
      </c>
      <c r="C41" s="5" t="s">
        <v>256</v>
      </c>
      <c r="D41" s="5" t="s">
        <v>257</v>
      </c>
      <c r="E41" s="5" t="s">
        <v>80</v>
      </c>
      <c r="F41" s="5" t="s">
        <v>52</v>
      </c>
      <c r="G41" s="5">
        <v>3</v>
      </c>
      <c r="H41" s="5" t="s">
        <v>25</v>
      </c>
      <c r="I41" s="5" t="s">
        <v>260</v>
      </c>
      <c r="J41" s="5" t="s">
        <v>259</v>
      </c>
    </row>
    <row r="42" spans="1:10" ht="16" x14ac:dyDescent="0.2">
      <c r="A42" s="5" t="s">
        <v>30</v>
      </c>
      <c r="B42" s="5" t="s">
        <v>262</v>
      </c>
      <c r="C42" s="5" t="s">
        <v>256</v>
      </c>
      <c r="D42" s="5" t="s">
        <v>263</v>
      </c>
      <c r="E42" s="5" t="s">
        <v>64</v>
      </c>
      <c r="F42" s="5" t="s">
        <v>67</v>
      </c>
      <c r="G42" s="5">
        <v>8</v>
      </c>
      <c r="H42" s="5" t="s">
        <v>25</v>
      </c>
      <c r="I42" s="5" t="s">
        <v>255</v>
      </c>
      <c r="J42" s="5" t="s">
        <v>265</v>
      </c>
    </row>
    <row r="43" spans="1:10" ht="16" x14ac:dyDescent="0.2">
      <c r="A43" s="5" t="s">
        <v>30</v>
      </c>
      <c r="B43" s="5" t="s">
        <v>266</v>
      </c>
      <c r="C43" s="5" t="s">
        <v>256</v>
      </c>
      <c r="D43" s="5" t="s">
        <v>267</v>
      </c>
      <c r="E43" s="5" t="s">
        <v>59</v>
      </c>
      <c r="F43" s="5" t="s">
        <v>67</v>
      </c>
      <c r="G43" s="5">
        <v>8</v>
      </c>
      <c r="H43" s="5" t="s">
        <v>25</v>
      </c>
      <c r="I43" s="5" t="s">
        <v>270</v>
      </c>
      <c r="J43" s="5" t="s">
        <v>269</v>
      </c>
    </row>
    <row r="44" spans="1:10" ht="16" x14ac:dyDescent="0.2">
      <c r="A44" s="5" t="s">
        <v>30</v>
      </c>
      <c r="B44" s="5" t="s">
        <v>271</v>
      </c>
      <c r="C44" s="5" t="s">
        <v>256</v>
      </c>
      <c r="D44" s="5" t="s">
        <v>272</v>
      </c>
      <c r="E44" s="5" t="s">
        <v>59</v>
      </c>
      <c r="F44" s="5" t="s">
        <v>52</v>
      </c>
      <c r="G44" s="5">
        <v>8</v>
      </c>
      <c r="H44" s="5" t="s">
        <v>25</v>
      </c>
      <c r="I44" s="5" t="s">
        <v>275</v>
      </c>
      <c r="J44" s="5" t="s">
        <v>274</v>
      </c>
    </row>
    <row r="45" spans="1:10" ht="16" x14ac:dyDescent="0.2">
      <c r="A45" s="5" t="s">
        <v>31</v>
      </c>
      <c r="B45" s="5" t="s">
        <v>276</v>
      </c>
      <c r="C45" s="5" t="s">
        <v>277</v>
      </c>
      <c r="D45" s="5" t="s">
        <v>278</v>
      </c>
      <c r="E45" s="5" t="s">
        <v>80</v>
      </c>
      <c r="F45" s="5" t="s">
        <v>67</v>
      </c>
      <c r="G45" s="5">
        <v>3</v>
      </c>
      <c r="H45" s="5" t="s">
        <v>25</v>
      </c>
      <c r="I45" s="5" t="s">
        <v>117</v>
      </c>
      <c r="J45" s="5" t="s">
        <v>280</v>
      </c>
    </row>
    <row r="46" spans="1:10" ht="16" x14ac:dyDescent="0.2">
      <c r="A46" s="5" t="s">
        <v>31</v>
      </c>
      <c r="B46" s="5" t="s">
        <v>282</v>
      </c>
      <c r="C46" s="5" t="s">
        <v>277</v>
      </c>
      <c r="D46" s="5" t="s">
        <v>283</v>
      </c>
      <c r="E46" s="5" t="s">
        <v>64</v>
      </c>
      <c r="F46" s="5" t="s">
        <v>67</v>
      </c>
      <c r="G46" s="5">
        <v>5</v>
      </c>
      <c r="H46" s="5" t="s">
        <v>25</v>
      </c>
      <c r="I46" s="5" t="s">
        <v>286</v>
      </c>
      <c r="J46" s="5" t="s">
        <v>285</v>
      </c>
    </row>
    <row r="47" spans="1:10" ht="16" x14ac:dyDescent="0.2">
      <c r="A47" s="5" t="s">
        <v>31</v>
      </c>
      <c r="B47" s="5" t="s">
        <v>287</v>
      </c>
      <c r="C47" s="5" t="s">
        <v>277</v>
      </c>
      <c r="D47" s="5" t="s">
        <v>288</v>
      </c>
      <c r="E47" s="5" t="s">
        <v>64</v>
      </c>
      <c r="F47" s="5" t="s">
        <v>168</v>
      </c>
      <c r="G47" s="5">
        <v>3</v>
      </c>
      <c r="H47" s="5" t="s">
        <v>25</v>
      </c>
      <c r="I47" s="5" t="s">
        <v>282</v>
      </c>
      <c r="J47" s="5" t="s">
        <v>290</v>
      </c>
    </row>
    <row r="48" spans="1:10" ht="16" x14ac:dyDescent="0.2">
      <c r="A48" s="5" t="s">
        <v>31</v>
      </c>
      <c r="B48" s="5" t="s">
        <v>291</v>
      </c>
      <c r="C48" s="5" t="s">
        <v>277</v>
      </c>
      <c r="D48" s="5" t="s">
        <v>292</v>
      </c>
      <c r="E48" s="5" t="s">
        <v>59</v>
      </c>
      <c r="F48" s="5" t="s">
        <v>168</v>
      </c>
      <c r="G48" s="5">
        <v>5</v>
      </c>
      <c r="H48" s="5" t="s">
        <v>25</v>
      </c>
      <c r="I48" s="5" t="s">
        <v>295</v>
      </c>
      <c r="J48" s="5" t="s">
        <v>294</v>
      </c>
    </row>
    <row r="49" spans="1:10" ht="16" x14ac:dyDescent="0.2">
      <c r="A49" s="5" t="s">
        <v>31</v>
      </c>
      <c r="B49" s="5" t="s">
        <v>296</v>
      </c>
      <c r="C49" s="5" t="s">
        <v>297</v>
      </c>
      <c r="D49" s="5" t="s">
        <v>298</v>
      </c>
      <c r="E49" s="5" t="s">
        <v>59</v>
      </c>
      <c r="F49" s="5" t="s">
        <v>67</v>
      </c>
      <c r="G49" s="5">
        <v>5</v>
      </c>
      <c r="H49" s="5" t="s">
        <v>25</v>
      </c>
      <c r="I49" s="5" t="s">
        <v>301</v>
      </c>
      <c r="J49" s="5" t="s">
        <v>300</v>
      </c>
    </row>
    <row r="50" spans="1:10" ht="16" x14ac:dyDescent="0.2">
      <c r="A50" s="5" t="s">
        <v>31</v>
      </c>
      <c r="B50" s="5" t="s">
        <v>302</v>
      </c>
      <c r="C50" s="5" t="s">
        <v>297</v>
      </c>
      <c r="D50" s="5" t="s">
        <v>303</v>
      </c>
      <c r="E50" s="5" t="s">
        <v>59</v>
      </c>
      <c r="F50" s="5" t="s">
        <v>67</v>
      </c>
      <c r="G50" s="5">
        <v>5</v>
      </c>
      <c r="H50" s="5" t="s">
        <v>25</v>
      </c>
      <c r="I50" s="5" t="s">
        <v>271</v>
      </c>
      <c r="J50" s="5" t="s">
        <v>305</v>
      </c>
    </row>
    <row r="51" spans="1:10" ht="16" x14ac:dyDescent="0.2">
      <c r="A51" s="5" t="s">
        <v>31</v>
      </c>
      <c r="B51" s="5" t="s">
        <v>306</v>
      </c>
      <c r="C51" s="5" t="s">
        <v>307</v>
      </c>
      <c r="D51" s="5" t="s">
        <v>308</v>
      </c>
      <c r="E51" s="5" t="s">
        <v>64</v>
      </c>
      <c r="F51" s="5" t="s">
        <v>168</v>
      </c>
      <c r="G51" s="5">
        <v>5</v>
      </c>
      <c r="H51" s="5" t="s">
        <v>25</v>
      </c>
      <c r="I51" s="5" t="s">
        <v>205</v>
      </c>
      <c r="J51" s="5" t="s">
        <v>310</v>
      </c>
    </row>
    <row r="52" spans="1:10" ht="16" x14ac:dyDescent="0.2">
      <c r="A52" s="5" t="s">
        <v>31</v>
      </c>
      <c r="B52" s="5" t="s">
        <v>311</v>
      </c>
      <c r="C52" s="5" t="s">
        <v>307</v>
      </c>
      <c r="D52" s="5" t="s">
        <v>312</v>
      </c>
      <c r="E52" s="5" t="s">
        <v>59</v>
      </c>
      <c r="F52" s="5" t="s">
        <v>168</v>
      </c>
      <c r="G52" s="5">
        <v>3</v>
      </c>
      <c r="H52" s="5" t="s">
        <v>25</v>
      </c>
      <c r="I52" s="5" t="s">
        <v>315</v>
      </c>
      <c r="J52" s="5" t="s">
        <v>314</v>
      </c>
    </row>
    <row r="53" spans="1:10" ht="16" x14ac:dyDescent="0.2">
      <c r="A53" s="5" t="s">
        <v>32</v>
      </c>
      <c r="B53" s="5" t="s">
        <v>316</v>
      </c>
      <c r="C53" s="5" t="s">
        <v>317</v>
      </c>
      <c r="D53" s="5" t="s">
        <v>318</v>
      </c>
      <c r="E53" s="5" t="s">
        <v>80</v>
      </c>
      <c r="F53" s="5" t="s">
        <v>67</v>
      </c>
      <c r="G53" s="5">
        <v>5</v>
      </c>
      <c r="H53" s="5" t="s">
        <v>25</v>
      </c>
      <c r="I53" s="5" t="s">
        <v>321</v>
      </c>
      <c r="J53" s="5" t="s">
        <v>320</v>
      </c>
    </row>
    <row r="54" spans="1:10" ht="16" x14ac:dyDescent="0.2">
      <c r="A54" s="5" t="s">
        <v>32</v>
      </c>
      <c r="B54" s="5" t="s">
        <v>323</v>
      </c>
      <c r="C54" s="5" t="s">
        <v>317</v>
      </c>
      <c r="D54" s="5" t="s">
        <v>324</v>
      </c>
      <c r="E54" s="5" t="s">
        <v>80</v>
      </c>
      <c r="F54" s="5" t="s">
        <v>168</v>
      </c>
      <c r="G54" s="5">
        <v>5</v>
      </c>
      <c r="H54" s="5" t="s">
        <v>25</v>
      </c>
      <c r="I54" s="5" t="s">
        <v>316</v>
      </c>
      <c r="J54" s="5" t="s">
        <v>326</v>
      </c>
    </row>
    <row r="55" spans="1:10" ht="32" x14ac:dyDescent="0.2">
      <c r="A55" s="5" t="s">
        <v>32</v>
      </c>
      <c r="B55" s="5" t="s">
        <v>328</v>
      </c>
      <c r="C55" s="5" t="s">
        <v>122</v>
      </c>
      <c r="D55" s="5" t="s">
        <v>329</v>
      </c>
      <c r="E55" s="5" t="s">
        <v>122</v>
      </c>
      <c r="F55" s="5" t="s">
        <v>52</v>
      </c>
      <c r="G55" s="5">
        <v>8</v>
      </c>
      <c r="H55" s="5" t="s">
        <v>25</v>
      </c>
      <c r="I55" s="5" t="s">
        <v>332</v>
      </c>
      <c r="J55" s="5" t="s">
        <v>331</v>
      </c>
    </row>
    <row r="56" spans="1:10" ht="16" x14ac:dyDescent="0.2">
      <c r="A56" s="5" t="s">
        <v>32</v>
      </c>
      <c r="B56" s="5" t="s">
        <v>334</v>
      </c>
      <c r="C56" s="5" t="s">
        <v>335</v>
      </c>
      <c r="D56" s="5" t="s">
        <v>336</v>
      </c>
      <c r="E56" s="5" t="s">
        <v>339</v>
      </c>
      <c r="F56" s="5" t="s">
        <v>67</v>
      </c>
      <c r="G56" s="5">
        <v>8</v>
      </c>
      <c r="H56" s="5" t="s">
        <v>25</v>
      </c>
      <c r="I56" s="5" t="s">
        <v>340</v>
      </c>
      <c r="J56" s="5" t="s">
        <v>338</v>
      </c>
    </row>
    <row r="57" spans="1:10" ht="16" x14ac:dyDescent="0.2">
      <c r="A57" s="5" t="s">
        <v>32</v>
      </c>
      <c r="B57" s="5" t="s">
        <v>341</v>
      </c>
      <c r="C57" s="5" t="s">
        <v>335</v>
      </c>
      <c r="D57" s="5" t="s">
        <v>342</v>
      </c>
      <c r="E57" s="5" t="s">
        <v>339</v>
      </c>
      <c r="F57" s="5" t="s">
        <v>67</v>
      </c>
      <c r="G57" s="5">
        <v>8</v>
      </c>
      <c r="H57" s="5" t="s">
        <v>25</v>
      </c>
      <c r="I57" s="5" t="s">
        <v>345</v>
      </c>
      <c r="J57" s="5" t="s">
        <v>344</v>
      </c>
    </row>
    <row r="58" spans="1:10" ht="16" x14ac:dyDescent="0.2">
      <c r="A58" s="5" t="s">
        <v>32</v>
      </c>
      <c r="B58" s="5" t="s">
        <v>346</v>
      </c>
      <c r="C58" s="5" t="s">
        <v>335</v>
      </c>
      <c r="D58" s="5" t="s">
        <v>347</v>
      </c>
      <c r="E58" s="5" t="s">
        <v>339</v>
      </c>
      <c r="F58" s="5" t="s">
        <v>168</v>
      </c>
      <c r="G58" s="5">
        <v>5</v>
      </c>
      <c r="H58" s="5" t="s">
        <v>25</v>
      </c>
      <c r="I58" s="5" t="s">
        <v>350</v>
      </c>
      <c r="J58" s="5" t="s">
        <v>349</v>
      </c>
    </row>
    <row r="59" spans="1:10" ht="16" x14ac:dyDescent="0.2">
      <c r="A59" s="5" t="s">
        <v>32</v>
      </c>
      <c r="B59" s="5" t="s">
        <v>351</v>
      </c>
      <c r="C59" s="5" t="s">
        <v>335</v>
      </c>
      <c r="D59" s="5" t="s">
        <v>352</v>
      </c>
      <c r="E59" s="5" t="s">
        <v>339</v>
      </c>
      <c r="F59" s="5" t="s">
        <v>67</v>
      </c>
      <c r="G59" s="5">
        <v>8</v>
      </c>
      <c r="H59" s="5" t="s">
        <v>25</v>
      </c>
      <c r="I59" s="5" t="s">
        <v>355</v>
      </c>
      <c r="J59" s="5" t="s">
        <v>354</v>
      </c>
    </row>
    <row r="60" spans="1:10" ht="16" x14ac:dyDescent="0.2">
      <c r="A60" s="5" t="s">
        <v>33</v>
      </c>
      <c r="B60" s="5" t="s">
        <v>357</v>
      </c>
      <c r="C60" s="5" t="s">
        <v>358</v>
      </c>
      <c r="D60" s="5" t="s">
        <v>359</v>
      </c>
      <c r="E60" s="5" t="s">
        <v>55</v>
      </c>
      <c r="F60" s="5" t="s">
        <v>67</v>
      </c>
      <c r="G60" s="5">
        <v>5</v>
      </c>
      <c r="H60" s="5" t="s">
        <v>25</v>
      </c>
      <c r="I60" s="5" t="s">
        <v>362</v>
      </c>
      <c r="J60" s="5" t="s">
        <v>361</v>
      </c>
    </row>
    <row r="61" spans="1:10" ht="16" x14ac:dyDescent="0.2">
      <c r="A61" s="5" t="s">
        <v>33</v>
      </c>
      <c r="B61" s="5" t="s">
        <v>364</v>
      </c>
      <c r="C61" s="5" t="s">
        <v>358</v>
      </c>
      <c r="D61" s="5" t="s">
        <v>365</v>
      </c>
      <c r="E61" s="5" t="s">
        <v>55</v>
      </c>
      <c r="F61" s="5" t="s">
        <v>67</v>
      </c>
      <c r="G61" s="5">
        <v>3</v>
      </c>
      <c r="H61" s="5" t="s">
        <v>25</v>
      </c>
      <c r="I61" s="5" t="s">
        <v>357</v>
      </c>
      <c r="J61" s="5" t="s">
        <v>367</v>
      </c>
    </row>
    <row r="62" spans="1:10" ht="16" x14ac:dyDescent="0.2">
      <c r="A62" s="5" t="s">
        <v>33</v>
      </c>
      <c r="B62" s="5" t="s">
        <v>369</v>
      </c>
      <c r="C62" s="5" t="s">
        <v>358</v>
      </c>
      <c r="D62" s="5" t="s">
        <v>370</v>
      </c>
      <c r="E62" s="5" t="s">
        <v>55</v>
      </c>
      <c r="F62" s="5" t="s">
        <v>67</v>
      </c>
      <c r="G62" s="5">
        <v>5</v>
      </c>
      <c r="H62" s="5" t="s">
        <v>25</v>
      </c>
      <c r="I62" s="5" t="s">
        <v>357</v>
      </c>
      <c r="J62" s="5" t="s">
        <v>372</v>
      </c>
    </row>
    <row r="63" spans="1:10" ht="16" x14ac:dyDescent="0.2">
      <c r="A63" s="5" t="s">
        <v>33</v>
      </c>
      <c r="B63" s="5" t="s">
        <v>373</v>
      </c>
      <c r="C63" s="5" t="s">
        <v>358</v>
      </c>
      <c r="D63" s="5" t="s">
        <v>374</v>
      </c>
      <c r="E63" s="5" t="s">
        <v>55</v>
      </c>
      <c r="F63" s="5" t="s">
        <v>52</v>
      </c>
      <c r="G63" s="5">
        <v>5</v>
      </c>
      <c r="H63" s="5" t="s">
        <v>25</v>
      </c>
      <c r="I63" s="5" t="s">
        <v>377</v>
      </c>
      <c r="J63" s="5" t="s">
        <v>376</v>
      </c>
    </row>
    <row r="64" spans="1:10" ht="16" x14ac:dyDescent="0.2">
      <c r="A64" s="5" t="s">
        <v>33</v>
      </c>
      <c r="B64" s="5" t="s">
        <v>379</v>
      </c>
      <c r="C64" s="5" t="s">
        <v>358</v>
      </c>
      <c r="D64" s="5" t="s">
        <v>380</v>
      </c>
      <c r="E64" s="5" t="s">
        <v>55</v>
      </c>
      <c r="F64" s="5" t="s">
        <v>67</v>
      </c>
      <c r="G64" s="5">
        <v>3</v>
      </c>
      <c r="H64" s="5" t="s">
        <v>25</v>
      </c>
      <c r="I64" s="5" t="s">
        <v>383</v>
      </c>
      <c r="J64" s="5" t="s">
        <v>382</v>
      </c>
    </row>
    <row r="65" spans="1:10" ht="16" x14ac:dyDescent="0.2">
      <c r="A65" s="5" t="s">
        <v>33</v>
      </c>
      <c r="B65" s="5" t="s">
        <v>385</v>
      </c>
      <c r="C65" s="5" t="s">
        <v>386</v>
      </c>
      <c r="D65" s="5" t="s">
        <v>387</v>
      </c>
      <c r="E65" s="5" t="s">
        <v>390</v>
      </c>
      <c r="F65" s="5" t="s">
        <v>67</v>
      </c>
      <c r="G65" s="5">
        <v>3</v>
      </c>
      <c r="H65" s="5" t="s">
        <v>25</v>
      </c>
      <c r="I65" s="5" t="s">
        <v>391</v>
      </c>
      <c r="J65" s="5" t="s">
        <v>389</v>
      </c>
    </row>
    <row r="66" spans="1:10" ht="16" x14ac:dyDescent="0.2">
      <c r="A66" s="5" t="s">
        <v>33</v>
      </c>
      <c r="B66" s="5" t="s">
        <v>393</v>
      </c>
      <c r="C66" s="5" t="s">
        <v>386</v>
      </c>
      <c r="D66" s="5" t="s">
        <v>394</v>
      </c>
      <c r="E66" s="5" t="s">
        <v>390</v>
      </c>
      <c r="F66" s="5" t="s">
        <v>168</v>
      </c>
      <c r="G66" s="5">
        <v>3</v>
      </c>
      <c r="H66" s="5" t="s">
        <v>25</v>
      </c>
      <c r="I66" s="5" t="s">
        <v>385</v>
      </c>
      <c r="J66" s="5" t="s">
        <v>396</v>
      </c>
    </row>
    <row r="67" spans="1:10" ht="32" x14ac:dyDescent="0.2">
      <c r="A67" s="5" t="s">
        <v>34</v>
      </c>
      <c r="B67" s="5" t="s">
        <v>398</v>
      </c>
      <c r="C67" s="5" t="s">
        <v>399</v>
      </c>
      <c r="D67" s="5" t="s">
        <v>400</v>
      </c>
      <c r="E67" s="5" t="s">
        <v>390</v>
      </c>
      <c r="F67" s="5" t="s">
        <v>168</v>
      </c>
      <c r="G67" s="5">
        <v>3</v>
      </c>
      <c r="H67" s="5" t="s">
        <v>25</v>
      </c>
      <c r="I67" s="5" t="s">
        <v>385</v>
      </c>
      <c r="J67" s="5" t="s">
        <v>402</v>
      </c>
    </row>
    <row r="68" spans="1:10" ht="16" x14ac:dyDescent="0.2">
      <c r="A68" s="5" t="s">
        <v>34</v>
      </c>
      <c r="B68" s="5" t="s">
        <v>404</v>
      </c>
      <c r="C68" s="5" t="s">
        <v>399</v>
      </c>
      <c r="D68" s="5" t="s">
        <v>405</v>
      </c>
      <c r="E68" s="5" t="s">
        <v>80</v>
      </c>
      <c r="F68" s="5" t="s">
        <v>168</v>
      </c>
      <c r="G68" s="5">
        <v>5</v>
      </c>
      <c r="H68" s="5" t="s">
        <v>25</v>
      </c>
      <c r="I68" s="5" t="s">
        <v>398</v>
      </c>
      <c r="J68" s="5" t="s">
        <v>407</v>
      </c>
    </row>
    <row r="69" spans="1:10" ht="16" x14ac:dyDescent="0.2">
      <c r="A69" s="5" t="s">
        <v>34</v>
      </c>
      <c r="B69" s="5" t="s">
        <v>409</v>
      </c>
      <c r="C69" s="5" t="s">
        <v>399</v>
      </c>
      <c r="D69" s="5" t="s">
        <v>410</v>
      </c>
      <c r="E69" s="5" t="s">
        <v>59</v>
      </c>
      <c r="F69" s="5" t="s">
        <v>168</v>
      </c>
      <c r="G69" s="5">
        <v>5</v>
      </c>
      <c r="H69" s="5" t="s">
        <v>25</v>
      </c>
      <c r="I69" s="5" t="s">
        <v>413</v>
      </c>
      <c r="J69" s="5" t="s">
        <v>412</v>
      </c>
    </row>
    <row r="70" spans="1:10" ht="16" x14ac:dyDescent="0.2">
      <c r="A70" s="5" t="s">
        <v>34</v>
      </c>
      <c r="B70" s="5" t="s">
        <v>414</v>
      </c>
      <c r="C70" s="5" t="s">
        <v>415</v>
      </c>
      <c r="D70" s="5" t="s">
        <v>416</v>
      </c>
      <c r="E70" s="5" t="s">
        <v>182</v>
      </c>
      <c r="F70" s="5" t="s">
        <v>417</v>
      </c>
      <c r="G70" s="5">
        <v>8</v>
      </c>
      <c r="H70" s="5" t="s">
        <v>25</v>
      </c>
      <c r="I70" s="5" t="s">
        <v>420</v>
      </c>
      <c r="J70" s="5" t="s">
        <v>419</v>
      </c>
    </row>
    <row r="71" spans="1:10" ht="16" x14ac:dyDescent="0.2">
      <c r="A71" s="5" t="s">
        <v>34</v>
      </c>
      <c r="B71" s="5" t="s">
        <v>421</v>
      </c>
      <c r="C71" s="5" t="s">
        <v>415</v>
      </c>
      <c r="D71" s="5" t="s">
        <v>422</v>
      </c>
      <c r="E71" s="5" t="s">
        <v>182</v>
      </c>
      <c r="F71" s="5" t="s">
        <v>417</v>
      </c>
      <c r="G71" s="5">
        <v>5</v>
      </c>
      <c r="H71" s="5" t="s">
        <v>25</v>
      </c>
      <c r="I71" s="5" t="s">
        <v>425</v>
      </c>
      <c r="J71" s="5" t="s">
        <v>424</v>
      </c>
    </row>
    <row r="72" spans="1:10" ht="32" x14ac:dyDescent="0.2">
      <c r="A72" s="5" t="s">
        <v>908</v>
      </c>
      <c r="B72" s="5" t="s">
        <v>903</v>
      </c>
      <c r="C72" s="5" t="s">
        <v>904</v>
      </c>
      <c r="D72" s="5" t="s">
        <v>905</v>
      </c>
      <c r="E72" s="5" t="s">
        <v>55</v>
      </c>
      <c r="F72" s="5" t="s">
        <v>67</v>
      </c>
      <c r="G72" s="5">
        <v>3</v>
      </c>
      <c r="H72" s="5" t="s">
        <v>14</v>
      </c>
      <c r="I72" s="5" t="s">
        <v>909</v>
      </c>
      <c r="J72" s="5" t="s">
        <v>912</v>
      </c>
    </row>
    <row r="73" spans="1:10" ht="32" x14ac:dyDescent="0.2">
      <c r="A73" s="5" t="s">
        <v>908</v>
      </c>
      <c r="B73" s="5" t="s">
        <v>963</v>
      </c>
      <c r="C73" s="5" t="s">
        <v>904</v>
      </c>
      <c r="D73" s="5" t="s">
        <v>964</v>
      </c>
      <c r="E73" s="5" t="s">
        <v>55</v>
      </c>
      <c r="F73" s="5" t="s">
        <v>67</v>
      </c>
      <c r="G73" s="5">
        <v>3</v>
      </c>
      <c r="H73" s="5" t="s">
        <v>13</v>
      </c>
      <c r="I73" s="5" t="s">
        <v>903</v>
      </c>
      <c r="J73" s="5" t="s">
        <v>969</v>
      </c>
    </row>
    <row r="74" spans="1:10" ht="48" x14ac:dyDescent="0.2">
      <c r="A74" s="5" t="s">
        <v>908</v>
      </c>
      <c r="B74" s="5" t="s">
        <v>1002</v>
      </c>
      <c r="C74" s="5" t="s">
        <v>904</v>
      </c>
      <c r="D74" s="5" t="s">
        <v>1003</v>
      </c>
      <c r="E74" s="5" t="s">
        <v>55</v>
      </c>
      <c r="F74" s="5" t="s">
        <v>67</v>
      </c>
      <c r="G74" s="5">
        <v>5</v>
      </c>
      <c r="H74" s="5" t="s">
        <v>13</v>
      </c>
      <c r="I74" s="5" t="s">
        <v>1006</v>
      </c>
      <c r="J74" s="5" t="s">
        <v>1009</v>
      </c>
    </row>
  </sheetData>
  <autoFilter ref="A1:J74" xr:uid="{00000000-0009-0000-0000-000003000000}"/>
  <conditionalFormatting sqref="H2:H74">
    <cfRule type="expression" dxfId="24" priority="1">
      <formula>$H2="Done"</formula>
    </cfRule>
    <cfRule type="expression" dxfId="23" priority="2">
      <formula>$H2="In Progress"</formula>
    </cfRule>
    <cfRule type="expression" dxfId="22" priority="3">
      <formula>$H2="Blocked"</formula>
    </cfRule>
    <cfRule type="expression" dxfId="21" priority="4">
      <formula>$H2="Review"</formula>
    </cfRule>
    <cfRule type="expression" dxfId="20" priority="5">
      <formula>$H2="Todo"</formula>
    </cfRule>
  </conditionalFormatting>
  <dataValidations count="1">
    <dataValidation type="list" allowBlank="1" sqref="H2:H74" xr:uid="{00000000-0002-0000-0300-000000000000}">
      <formula1>"Todo,In Progress,Blocked,Review,Done"</formula1>
    </dataValidation>
  </dataValidations>
  <pageMargins left="0.75" right="0.75" top="1" bottom="1" header="0.5" footer="0.5"/>
  <pageSetup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X71"/>
  <sheetViews>
    <sheetView showGridLines="0" workbookViewId="0">
      <pane ySplit="1" topLeftCell="A2" activePane="bottomLeft" state="frozen"/>
      <selection pane="bottomLeft"/>
    </sheetView>
  </sheetViews>
  <sheetFormatPr baseColWidth="10" defaultColWidth="8.83203125" defaultRowHeight="15" x14ac:dyDescent="0.2"/>
  <cols>
    <col min="1" max="1" width="12" customWidth="1"/>
    <col min="2" max="2" width="34" customWidth="1"/>
    <col min="3" max="3" width="12" customWidth="1"/>
    <col min="4" max="5" width="14" customWidth="1"/>
    <col min="6" max="6" width="10" customWidth="1"/>
    <col min="7" max="7" width="14" customWidth="1"/>
    <col min="8" max="8" width="22" customWidth="1"/>
    <col min="9" max="50" width="5" customWidth="1"/>
  </cols>
  <sheetData>
    <row r="1" spans="1:50" ht="32" x14ac:dyDescent="0.2">
      <c r="A1" s="4" t="s">
        <v>35</v>
      </c>
      <c r="B1" s="4" t="s">
        <v>37</v>
      </c>
      <c r="C1" s="4" t="s">
        <v>18</v>
      </c>
      <c r="D1" s="4" t="s">
        <v>427</v>
      </c>
      <c r="E1" s="4" t="s">
        <v>428</v>
      </c>
      <c r="F1" s="4" t="s">
        <v>429</v>
      </c>
      <c r="G1" s="4" t="s">
        <v>22</v>
      </c>
      <c r="H1" s="4" t="s">
        <v>46</v>
      </c>
      <c r="I1" s="4" t="s">
        <v>430</v>
      </c>
      <c r="J1" s="4" t="s">
        <v>431</v>
      </c>
      <c r="K1" s="4" t="s">
        <v>432</v>
      </c>
      <c r="L1" s="4" t="s">
        <v>433</v>
      </c>
      <c r="M1" s="4" t="s">
        <v>434</v>
      </c>
      <c r="N1" s="4" t="s">
        <v>435</v>
      </c>
      <c r="O1" s="4" t="s">
        <v>436</v>
      </c>
      <c r="P1" s="4" t="s">
        <v>437</v>
      </c>
      <c r="Q1" s="4" t="s">
        <v>438</v>
      </c>
      <c r="R1" s="4" t="s">
        <v>439</v>
      </c>
      <c r="S1" s="4" t="s">
        <v>440</v>
      </c>
      <c r="T1" s="4" t="s">
        <v>441</v>
      </c>
      <c r="U1" s="4" t="s">
        <v>442</v>
      </c>
      <c r="V1" s="4" t="s">
        <v>443</v>
      </c>
      <c r="W1" s="4" t="s">
        <v>444</v>
      </c>
      <c r="X1" s="4" t="s">
        <v>445</v>
      </c>
      <c r="Y1" s="4" t="s">
        <v>446</v>
      </c>
      <c r="Z1" s="4" t="s">
        <v>447</v>
      </c>
      <c r="AA1" s="4" t="s">
        <v>448</v>
      </c>
      <c r="AB1" s="4" t="s">
        <v>449</v>
      </c>
      <c r="AC1" s="4" t="s">
        <v>450</v>
      </c>
      <c r="AD1" s="4" t="s">
        <v>451</v>
      </c>
      <c r="AE1" s="4" t="s">
        <v>452</v>
      </c>
      <c r="AF1" s="4" t="s">
        <v>453</v>
      </c>
      <c r="AG1" s="4" t="s">
        <v>454</v>
      </c>
      <c r="AH1" s="4" t="s">
        <v>455</v>
      </c>
      <c r="AI1" s="4" t="s">
        <v>456</v>
      </c>
      <c r="AJ1" s="4" t="s">
        <v>457</v>
      </c>
      <c r="AK1" s="4" t="s">
        <v>458</v>
      </c>
      <c r="AL1" s="4" t="s">
        <v>459</v>
      </c>
      <c r="AM1" s="4" t="s">
        <v>460</v>
      </c>
      <c r="AN1" s="4" t="s">
        <v>461</v>
      </c>
      <c r="AO1" s="4" t="s">
        <v>462</v>
      </c>
      <c r="AP1" s="4" t="s">
        <v>463</v>
      </c>
      <c r="AQ1" s="4" t="s">
        <v>464</v>
      </c>
      <c r="AR1" s="4" t="s">
        <v>465</v>
      </c>
      <c r="AS1" s="4" t="s">
        <v>466</v>
      </c>
      <c r="AT1" s="4" t="s">
        <v>467</v>
      </c>
      <c r="AU1" s="4" t="s">
        <v>468</v>
      </c>
      <c r="AV1" s="4" t="s">
        <v>469</v>
      </c>
      <c r="AW1" s="4" t="s">
        <v>470</v>
      </c>
      <c r="AX1" s="4" t="s">
        <v>471</v>
      </c>
    </row>
    <row r="2" spans="1:50" ht="16" x14ac:dyDescent="0.2">
      <c r="A2" s="5" t="s">
        <v>49</v>
      </c>
      <c r="B2" s="5" t="s">
        <v>51</v>
      </c>
      <c r="C2" s="5" t="s">
        <v>24</v>
      </c>
      <c r="D2" s="7">
        <v>46153</v>
      </c>
      <c r="E2" s="7">
        <v>46153</v>
      </c>
      <c r="F2" s="5">
        <v>1</v>
      </c>
      <c r="G2" s="5" t="s">
        <v>25</v>
      </c>
      <c r="H2" s="5"/>
      <c r="I2" s="8" t="s">
        <v>472</v>
      </c>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row>
    <row r="3" spans="1:50" ht="16" x14ac:dyDescent="0.2">
      <c r="A3" s="5" t="s">
        <v>57</v>
      </c>
      <c r="B3" s="5" t="s">
        <v>58</v>
      </c>
      <c r="C3" s="5" t="s">
        <v>24</v>
      </c>
      <c r="D3" s="7">
        <v>46153</v>
      </c>
      <c r="E3" s="7">
        <v>46154</v>
      </c>
      <c r="F3" s="5">
        <v>2</v>
      </c>
      <c r="G3" s="5" t="s">
        <v>25</v>
      </c>
      <c r="H3" s="5" t="s">
        <v>49</v>
      </c>
      <c r="I3" s="8" t="s">
        <v>472</v>
      </c>
      <c r="J3" s="8" t="s">
        <v>472</v>
      </c>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row>
    <row r="4" spans="1:50" ht="16" x14ac:dyDescent="0.2">
      <c r="A4" s="5" t="s">
        <v>60</v>
      </c>
      <c r="B4" s="5" t="s">
        <v>61</v>
      </c>
      <c r="C4" s="5" t="s">
        <v>24</v>
      </c>
      <c r="D4" s="7">
        <v>46153</v>
      </c>
      <c r="E4" s="7">
        <v>46154</v>
      </c>
      <c r="F4" s="5">
        <v>2</v>
      </c>
      <c r="G4" s="5" t="s">
        <v>25</v>
      </c>
      <c r="H4" s="5" t="s">
        <v>49</v>
      </c>
      <c r="I4" s="8" t="s">
        <v>472</v>
      </c>
      <c r="J4" s="8" t="s">
        <v>472</v>
      </c>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row>
    <row r="5" spans="1:50" ht="16" x14ac:dyDescent="0.2">
      <c r="A5" s="5" t="s">
        <v>65</v>
      </c>
      <c r="B5" s="5" t="s">
        <v>66</v>
      </c>
      <c r="C5" s="5" t="s">
        <v>24</v>
      </c>
      <c r="D5" s="7">
        <v>46154</v>
      </c>
      <c r="E5" s="7">
        <v>46154</v>
      </c>
      <c r="F5" s="5">
        <v>1</v>
      </c>
      <c r="G5" s="5" t="s">
        <v>25</v>
      </c>
      <c r="H5" s="5" t="s">
        <v>70</v>
      </c>
      <c r="I5" s="5"/>
      <c r="J5" s="8" t="s">
        <v>472</v>
      </c>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row>
    <row r="6" spans="1:50" ht="16" x14ac:dyDescent="0.2">
      <c r="A6" s="5" t="s">
        <v>71</v>
      </c>
      <c r="B6" s="5" t="s">
        <v>72</v>
      </c>
      <c r="C6" s="5" t="s">
        <v>24</v>
      </c>
      <c r="D6" s="7">
        <v>46154</v>
      </c>
      <c r="E6" s="7">
        <v>46154</v>
      </c>
      <c r="F6" s="5">
        <v>1</v>
      </c>
      <c r="G6" s="5" t="s">
        <v>25</v>
      </c>
      <c r="H6" s="5" t="s">
        <v>70</v>
      </c>
      <c r="I6" s="5"/>
      <c r="J6" s="8" t="s">
        <v>472</v>
      </c>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row>
    <row r="7" spans="1:50" ht="16" x14ac:dyDescent="0.2">
      <c r="A7" s="5" t="s">
        <v>75</v>
      </c>
      <c r="B7" s="5" t="s">
        <v>77</v>
      </c>
      <c r="C7" s="5" t="s">
        <v>24</v>
      </c>
      <c r="D7" s="7">
        <v>46155</v>
      </c>
      <c r="E7" s="7">
        <v>46155</v>
      </c>
      <c r="F7" s="5">
        <v>1</v>
      </c>
      <c r="G7" s="5" t="s">
        <v>25</v>
      </c>
      <c r="H7" s="5" t="s">
        <v>65</v>
      </c>
      <c r="I7" s="5"/>
      <c r="J7" s="5"/>
      <c r="K7" s="8" t="s">
        <v>472</v>
      </c>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row>
    <row r="8" spans="1:50" ht="16" x14ac:dyDescent="0.2">
      <c r="A8" s="5" t="s">
        <v>82</v>
      </c>
      <c r="B8" s="5" t="s">
        <v>83</v>
      </c>
      <c r="C8" s="5" t="s">
        <v>24</v>
      </c>
      <c r="D8" s="7">
        <v>46155</v>
      </c>
      <c r="E8" s="7">
        <v>46156</v>
      </c>
      <c r="F8" s="5">
        <v>2</v>
      </c>
      <c r="G8" s="5" t="s">
        <v>25</v>
      </c>
      <c r="H8" s="5" t="s">
        <v>75</v>
      </c>
      <c r="I8" s="5"/>
      <c r="J8" s="5"/>
      <c r="K8" s="8" t="s">
        <v>472</v>
      </c>
      <c r="L8" s="8" t="s">
        <v>472</v>
      </c>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row>
    <row r="9" spans="1:50" ht="16" x14ac:dyDescent="0.2">
      <c r="A9" s="5" t="s">
        <v>87</v>
      </c>
      <c r="B9" s="5" t="s">
        <v>89</v>
      </c>
      <c r="C9" s="5" t="s">
        <v>24</v>
      </c>
      <c r="D9" s="7">
        <v>46156</v>
      </c>
      <c r="E9" s="7">
        <v>46156</v>
      </c>
      <c r="F9" s="5">
        <v>1</v>
      </c>
      <c r="G9" s="5" t="s">
        <v>25</v>
      </c>
      <c r="H9" s="5" t="s">
        <v>60</v>
      </c>
      <c r="I9" s="5"/>
      <c r="J9" s="5"/>
      <c r="K9" s="5"/>
      <c r="L9" s="8" t="s">
        <v>472</v>
      </c>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row>
    <row r="10" spans="1:50" ht="16" x14ac:dyDescent="0.2">
      <c r="A10" s="5" t="s">
        <v>92</v>
      </c>
      <c r="B10" s="5" t="s">
        <v>93</v>
      </c>
      <c r="C10" s="5" t="s">
        <v>24</v>
      </c>
      <c r="D10" s="7">
        <v>46156</v>
      </c>
      <c r="E10" s="7">
        <v>46157</v>
      </c>
      <c r="F10" s="5">
        <v>2</v>
      </c>
      <c r="G10" s="5" t="s">
        <v>25</v>
      </c>
      <c r="H10" s="5" t="s">
        <v>57</v>
      </c>
      <c r="I10" s="5"/>
      <c r="J10" s="5"/>
      <c r="K10" s="5"/>
      <c r="L10" s="8" t="s">
        <v>472</v>
      </c>
      <c r="M10" s="8" t="s">
        <v>472</v>
      </c>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row>
    <row r="11" spans="1:50" ht="16" x14ac:dyDescent="0.2">
      <c r="A11" s="5" t="s">
        <v>96</v>
      </c>
      <c r="B11" s="5" t="s">
        <v>98</v>
      </c>
      <c r="C11" s="5" t="s">
        <v>26</v>
      </c>
      <c r="D11" s="7">
        <v>46158</v>
      </c>
      <c r="E11" s="7">
        <v>46158</v>
      </c>
      <c r="F11" s="5">
        <v>1</v>
      </c>
      <c r="G11" s="5" t="s">
        <v>25</v>
      </c>
      <c r="H11" s="5" t="s">
        <v>82</v>
      </c>
      <c r="I11" s="5"/>
      <c r="J11" s="5"/>
      <c r="K11" s="5"/>
      <c r="L11" s="5"/>
      <c r="M11" s="5"/>
      <c r="N11" s="8" t="s">
        <v>472</v>
      </c>
      <c r="O11" s="5"/>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row>
    <row r="12" spans="1:50" ht="16" x14ac:dyDescent="0.2">
      <c r="A12" s="5" t="s">
        <v>102</v>
      </c>
      <c r="B12" s="5" t="s">
        <v>103</v>
      </c>
      <c r="C12" s="5" t="s">
        <v>26</v>
      </c>
      <c r="D12" s="7">
        <v>46158</v>
      </c>
      <c r="E12" s="7">
        <v>46158</v>
      </c>
      <c r="F12" s="5">
        <v>1</v>
      </c>
      <c r="G12" s="5" t="s">
        <v>25</v>
      </c>
      <c r="H12" s="5" t="s">
        <v>96</v>
      </c>
      <c r="I12" s="5"/>
      <c r="J12" s="5"/>
      <c r="K12" s="5"/>
      <c r="L12" s="5"/>
      <c r="M12" s="5"/>
      <c r="N12" s="8" t="s">
        <v>472</v>
      </c>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row>
    <row r="13" spans="1:50" ht="16" x14ac:dyDescent="0.2">
      <c r="A13" s="5" t="s">
        <v>107</v>
      </c>
      <c r="B13" s="5" t="s">
        <v>108</v>
      </c>
      <c r="C13" s="5" t="s">
        <v>26</v>
      </c>
      <c r="D13" s="7">
        <v>46159</v>
      </c>
      <c r="E13" s="7">
        <v>46159</v>
      </c>
      <c r="F13" s="5">
        <v>1</v>
      </c>
      <c r="G13" s="5" t="s">
        <v>25</v>
      </c>
      <c r="H13" s="5" t="s">
        <v>96</v>
      </c>
      <c r="I13" s="5"/>
      <c r="J13" s="5"/>
      <c r="K13" s="5"/>
      <c r="L13" s="5"/>
      <c r="M13" s="5"/>
      <c r="N13" s="5"/>
      <c r="O13" s="8" t="s">
        <v>472</v>
      </c>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row>
    <row r="14" spans="1:50" ht="16" x14ac:dyDescent="0.2">
      <c r="A14" s="5" t="s">
        <v>112</v>
      </c>
      <c r="B14" s="5" t="s">
        <v>113</v>
      </c>
      <c r="C14" s="5" t="s">
        <v>26</v>
      </c>
      <c r="D14" s="7">
        <v>46159</v>
      </c>
      <c r="E14" s="7">
        <v>46159</v>
      </c>
      <c r="F14" s="5">
        <v>1</v>
      </c>
      <c r="G14" s="5" t="s">
        <v>25</v>
      </c>
      <c r="H14" s="5" t="s">
        <v>102</v>
      </c>
      <c r="I14" s="5"/>
      <c r="J14" s="5"/>
      <c r="K14" s="5"/>
      <c r="L14" s="5"/>
      <c r="M14" s="5"/>
      <c r="N14" s="5"/>
      <c r="O14" s="8" t="s">
        <v>472</v>
      </c>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row>
    <row r="15" spans="1:50" ht="32" x14ac:dyDescent="0.2">
      <c r="A15" s="5" t="s">
        <v>117</v>
      </c>
      <c r="B15" s="5" t="s">
        <v>119</v>
      </c>
      <c r="C15" s="5" t="s">
        <v>26</v>
      </c>
      <c r="D15" s="7">
        <v>46160</v>
      </c>
      <c r="E15" s="7">
        <v>46161</v>
      </c>
      <c r="F15" s="5">
        <v>2</v>
      </c>
      <c r="G15" s="5" t="s">
        <v>25</v>
      </c>
      <c r="H15" s="5" t="s">
        <v>123</v>
      </c>
      <c r="I15" s="5"/>
      <c r="J15" s="5"/>
      <c r="K15" s="5"/>
      <c r="L15" s="5"/>
      <c r="M15" s="5"/>
      <c r="N15" s="5"/>
      <c r="O15" s="5"/>
      <c r="P15" s="8" t="s">
        <v>472</v>
      </c>
      <c r="Q15" s="8" t="s">
        <v>472</v>
      </c>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row>
    <row r="16" spans="1:50" ht="16" x14ac:dyDescent="0.2">
      <c r="A16" s="5" t="s">
        <v>125</v>
      </c>
      <c r="B16" s="5" t="s">
        <v>126</v>
      </c>
      <c r="C16" s="5" t="s">
        <v>26</v>
      </c>
      <c r="D16" s="7">
        <v>46160</v>
      </c>
      <c r="E16" s="7">
        <v>46161</v>
      </c>
      <c r="F16" s="5">
        <v>2</v>
      </c>
      <c r="G16" s="5" t="s">
        <v>25</v>
      </c>
      <c r="H16" s="5" t="s">
        <v>129</v>
      </c>
      <c r="I16" s="5"/>
      <c r="J16" s="5"/>
      <c r="K16" s="5"/>
      <c r="L16" s="5"/>
      <c r="M16" s="5"/>
      <c r="N16" s="5"/>
      <c r="O16" s="5"/>
      <c r="P16" s="8" t="s">
        <v>472</v>
      </c>
      <c r="Q16" s="8" t="s">
        <v>472</v>
      </c>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row>
    <row r="17" spans="1:50" ht="16" x14ac:dyDescent="0.2">
      <c r="A17" s="5" t="s">
        <v>130</v>
      </c>
      <c r="B17" s="5" t="s">
        <v>131</v>
      </c>
      <c r="C17" s="5" t="s">
        <v>26</v>
      </c>
      <c r="D17" s="7">
        <v>46161</v>
      </c>
      <c r="E17" s="7">
        <v>46162</v>
      </c>
      <c r="F17" s="5">
        <v>2</v>
      </c>
      <c r="G17" s="5" t="s">
        <v>25</v>
      </c>
      <c r="H17" s="5" t="s">
        <v>134</v>
      </c>
      <c r="I17" s="5"/>
      <c r="J17" s="5"/>
      <c r="K17" s="5"/>
      <c r="L17" s="5"/>
      <c r="M17" s="5"/>
      <c r="N17" s="5"/>
      <c r="O17" s="5"/>
      <c r="P17" s="5"/>
      <c r="Q17" s="8" t="s">
        <v>472</v>
      </c>
      <c r="R17" s="8" t="s">
        <v>472</v>
      </c>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row>
    <row r="18" spans="1:50" ht="16" x14ac:dyDescent="0.2">
      <c r="A18" s="5" t="s">
        <v>135</v>
      </c>
      <c r="B18" s="5" t="s">
        <v>137</v>
      </c>
      <c r="C18" s="5" t="s">
        <v>26</v>
      </c>
      <c r="D18" s="7">
        <v>46162</v>
      </c>
      <c r="E18" s="7">
        <v>46163</v>
      </c>
      <c r="F18" s="5">
        <v>2</v>
      </c>
      <c r="G18" s="5" t="s">
        <v>25</v>
      </c>
      <c r="H18" s="5" t="s">
        <v>140</v>
      </c>
      <c r="I18" s="5"/>
      <c r="J18" s="5"/>
      <c r="K18" s="5"/>
      <c r="L18" s="5"/>
      <c r="M18" s="5"/>
      <c r="N18" s="5"/>
      <c r="O18" s="5"/>
      <c r="P18" s="5"/>
      <c r="Q18" s="5"/>
      <c r="R18" s="8" t="s">
        <v>472</v>
      </c>
      <c r="S18" s="8" t="s">
        <v>472</v>
      </c>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row>
    <row r="19" spans="1:50" ht="16" x14ac:dyDescent="0.2">
      <c r="A19" s="5" t="s">
        <v>141</v>
      </c>
      <c r="B19" s="5" t="s">
        <v>143</v>
      </c>
      <c r="C19" s="5" t="s">
        <v>26</v>
      </c>
      <c r="D19" s="7">
        <v>46162</v>
      </c>
      <c r="E19" s="7">
        <v>46163</v>
      </c>
      <c r="F19" s="5">
        <v>2</v>
      </c>
      <c r="G19" s="5" t="s">
        <v>25</v>
      </c>
      <c r="H19" s="5" t="s">
        <v>130</v>
      </c>
      <c r="I19" s="5"/>
      <c r="J19" s="5"/>
      <c r="K19" s="5"/>
      <c r="L19" s="5"/>
      <c r="M19" s="5"/>
      <c r="N19" s="5"/>
      <c r="O19" s="5"/>
      <c r="P19" s="5"/>
      <c r="Q19" s="5"/>
      <c r="R19" s="8" t="s">
        <v>472</v>
      </c>
      <c r="S19" s="8" t="s">
        <v>472</v>
      </c>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row>
    <row r="20" spans="1:50" ht="16" x14ac:dyDescent="0.2">
      <c r="A20" s="5" t="s">
        <v>146</v>
      </c>
      <c r="B20" s="5" t="s">
        <v>148</v>
      </c>
      <c r="C20" s="5" t="s">
        <v>27</v>
      </c>
      <c r="D20" s="7">
        <v>46164</v>
      </c>
      <c r="E20" s="7">
        <v>46164</v>
      </c>
      <c r="F20" s="5">
        <v>1</v>
      </c>
      <c r="G20" s="5" t="s">
        <v>25</v>
      </c>
      <c r="H20" s="5" t="s">
        <v>117</v>
      </c>
      <c r="I20" s="5"/>
      <c r="J20" s="5"/>
      <c r="K20" s="5"/>
      <c r="L20" s="5"/>
      <c r="M20" s="5"/>
      <c r="N20" s="5"/>
      <c r="O20" s="5"/>
      <c r="P20" s="5"/>
      <c r="Q20" s="5"/>
      <c r="R20" s="5"/>
      <c r="S20" s="5"/>
      <c r="T20" s="8" t="s">
        <v>472</v>
      </c>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row>
    <row r="21" spans="1:50" ht="16" x14ac:dyDescent="0.2">
      <c r="A21" s="5" t="s">
        <v>152</v>
      </c>
      <c r="B21" s="5" t="s">
        <v>153</v>
      </c>
      <c r="C21" s="5" t="s">
        <v>27</v>
      </c>
      <c r="D21" s="7">
        <v>46164</v>
      </c>
      <c r="E21" s="7">
        <v>46165</v>
      </c>
      <c r="F21" s="5">
        <v>2</v>
      </c>
      <c r="G21" s="5" t="s">
        <v>25</v>
      </c>
      <c r="H21" s="5" t="s">
        <v>156</v>
      </c>
      <c r="I21" s="5"/>
      <c r="J21" s="5"/>
      <c r="K21" s="5"/>
      <c r="L21" s="5"/>
      <c r="M21" s="5"/>
      <c r="N21" s="5"/>
      <c r="O21" s="5"/>
      <c r="P21" s="5"/>
      <c r="Q21" s="5"/>
      <c r="R21" s="5"/>
      <c r="S21" s="5"/>
      <c r="T21" s="8" t="s">
        <v>472</v>
      </c>
      <c r="U21" s="8" t="s">
        <v>472</v>
      </c>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row>
    <row r="22" spans="1:50" ht="16" x14ac:dyDescent="0.2">
      <c r="A22" s="5" t="s">
        <v>157</v>
      </c>
      <c r="B22" s="5" t="s">
        <v>158</v>
      </c>
      <c r="C22" s="5" t="s">
        <v>27</v>
      </c>
      <c r="D22" s="7">
        <v>46165</v>
      </c>
      <c r="E22" s="7">
        <v>46166</v>
      </c>
      <c r="F22" s="5">
        <v>2</v>
      </c>
      <c r="G22" s="5" t="s">
        <v>25</v>
      </c>
      <c r="H22" s="5" t="s">
        <v>152</v>
      </c>
      <c r="I22" s="5"/>
      <c r="J22" s="5"/>
      <c r="K22" s="5"/>
      <c r="L22" s="5"/>
      <c r="M22" s="5"/>
      <c r="N22" s="5"/>
      <c r="O22" s="5"/>
      <c r="P22" s="5"/>
      <c r="Q22" s="5"/>
      <c r="R22" s="5"/>
      <c r="S22" s="5"/>
      <c r="T22" s="5"/>
      <c r="U22" s="8" t="s">
        <v>472</v>
      </c>
      <c r="V22" s="8" t="s">
        <v>472</v>
      </c>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row>
    <row r="23" spans="1:50" ht="16" x14ac:dyDescent="0.2">
      <c r="A23" s="5" t="s">
        <v>161</v>
      </c>
      <c r="B23" s="5" t="s">
        <v>163</v>
      </c>
      <c r="C23" s="5" t="s">
        <v>27</v>
      </c>
      <c r="D23" s="7">
        <v>46166</v>
      </c>
      <c r="E23" s="7">
        <v>46166</v>
      </c>
      <c r="F23" s="5">
        <v>1</v>
      </c>
      <c r="G23" s="5" t="s">
        <v>25</v>
      </c>
      <c r="H23" s="5" t="s">
        <v>141</v>
      </c>
      <c r="I23" s="5"/>
      <c r="J23" s="5"/>
      <c r="K23" s="5"/>
      <c r="L23" s="5"/>
      <c r="M23" s="5"/>
      <c r="N23" s="5"/>
      <c r="O23" s="5"/>
      <c r="P23" s="5"/>
      <c r="Q23" s="5"/>
      <c r="R23" s="5"/>
      <c r="S23" s="5"/>
      <c r="T23" s="5"/>
      <c r="U23" s="5"/>
      <c r="V23" s="8" t="s">
        <v>472</v>
      </c>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row>
    <row r="24" spans="1:50" ht="16" x14ac:dyDescent="0.2">
      <c r="A24" s="5" t="s">
        <v>166</v>
      </c>
      <c r="B24" s="5" t="s">
        <v>167</v>
      </c>
      <c r="C24" s="5" t="s">
        <v>27</v>
      </c>
      <c r="D24" s="7">
        <v>46167</v>
      </c>
      <c r="E24" s="7">
        <v>46168</v>
      </c>
      <c r="F24" s="5">
        <v>2</v>
      </c>
      <c r="G24" s="5" t="s">
        <v>25</v>
      </c>
      <c r="H24" s="5" t="s">
        <v>171</v>
      </c>
      <c r="I24" s="5"/>
      <c r="J24" s="5"/>
      <c r="K24" s="5"/>
      <c r="L24" s="5"/>
      <c r="M24" s="5"/>
      <c r="N24" s="5"/>
      <c r="O24" s="5"/>
      <c r="P24" s="5"/>
      <c r="Q24" s="5"/>
      <c r="R24" s="5"/>
      <c r="S24" s="5"/>
      <c r="T24" s="5"/>
      <c r="U24" s="5"/>
      <c r="V24" s="5"/>
      <c r="W24" s="8" t="s">
        <v>472</v>
      </c>
      <c r="X24" s="8" t="s">
        <v>472</v>
      </c>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row>
    <row r="25" spans="1:50" ht="16" x14ac:dyDescent="0.2">
      <c r="A25" s="5" t="s">
        <v>172</v>
      </c>
      <c r="B25" s="5" t="s">
        <v>174</v>
      </c>
      <c r="C25" s="5" t="s">
        <v>27</v>
      </c>
      <c r="D25" s="7">
        <v>46166</v>
      </c>
      <c r="E25" s="7">
        <v>46167</v>
      </c>
      <c r="F25" s="5">
        <v>2</v>
      </c>
      <c r="G25" s="5" t="s">
        <v>25</v>
      </c>
      <c r="H25" s="5" t="s">
        <v>135</v>
      </c>
      <c r="I25" s="5"/>
      <c r="J25" s="5"/>
      <c r="K25" s="5"/>
      <c r="L25" s="5"/>
      <c r="M25" s="5"/>
      <c r="N25" s="5"/>
      <c r="O25" s="5"/>
      <c r="P25" s="5"/>
      <c r="Q25" s="5"/>
      <c r="R25" s="5"/>
      <c r="S25" s="5"/>
      <c r="T25" s="5"/>
      <c r="U25" s="5"/>
      <c r="V25" s="8" t="s">
        <v>472</v>
      </c>
      <c r="W25" s="8" t="s">
        <v>472</v>
      </c>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row>
    <row r="26" spans="1:50" ht="16" x14ac:dyDescent="0.2">
      <c r="A26" s="5" t="s">
        <v>177</v>
      </c>
      <c r="B26" s="5" t="s">
        <v>179</v>
      </c>
      <c r="C26" s="5" t="s">
        <v>27</v>
      </c>
      <c r="D26" s="7">
        <v>46168</v>
      </c>
      <c r="E26" s="7">
        <v>46169</v>
      </c>
      <c r="F26" s="5">
        <v>2</v>
      </c>
      <c r="G26" s="5" t="s">
        <v>25</v>
      </c>
      <c r="H26" s="5" t="s">
        <v>183</v>
      </c>
      <c r="I26" s="5"/>
      <c r="J26" s="5"/>
      <c r="K26" s="5"/>
      <c r="L26" s="5"/>
      <c r="M26" s="5"/>
      <c r="N26" s="5"/>
      <c r="O26" s="5"/>
      <c r="P26" s="5"/>
      <c r="Q26" s="5"/>
      <c r="R26" s="5"/>
      <c r="S26" s="5"/>
      <c r="T26" s="5"/>
      <c r="U26" s="5"/>
      <c r="V26" s="5"/>
      <c r="W26" s="5"/>
      <c r="X26" s="8" t="s">
        <v>472</v>
      </c>
      <c r="Y26" s="8" t="s">
        <v>472</v>
      </c>
      <c r="Z26" s="5"/>
      <c r="AA26" s="5"/>
      <c r="AB26" s="5"/>
      <c r="AC26" s="5"/>
      <c r="AD26" s="5"/>
      <c r="AE26" s="5"/>
      <c r="AF26" s="5"/>
      <c r="AG26" s="5"/>
      <c r="AH26" s="5"/>
      <c r="AI26" s="5"/>
      <c r="AJ26" s="5"/>
      <c r="AK26" s="5"/>
      <c r="AL26" s="5"/>
      <c r="AM26" s="5"/>
      <c r="AN26" s="5"/>
      <c r="AO26" s="5"/>
      <c r="AP26" s="5"/>
      <c r="AQ26" s="5"/>
      <c r="AR26" s="5"/>
      <c r="AS26" s="5"/>
      <c r="AT26" s="5"/>
      <c r="AU26" s="5"/>
      <c r="AV26" s="5"/>
      <c r="AW26" s="5"/>
      <c r="AX26" s="5"/>
    </row>
    <row r="27" spans="1:50" ht="16" x14ac:dyDescent="0.2">
      <c r="A27" s="5" t="s">
        <v>184</v>
      </c>
      <c r="B27" s="5" t="s">
        <v>186</v>
      </c>
      <c r="C27" s="5" t="s">
        <v>28</v>
      </c>
      <c r="D27" s="7">
        <v>46170</v>
      </c>
      <c r="E27" s="7">
        <v>46170</v>
      </c>
      <c r="F27" s="5">
        <v>1</v>
      </c>
      <c r="G27" s="5" t="s">
        <v>25</v>
      </c>
      <c r="H27" s="5" t="s">
        <v>117</v>
      </c>
      <c r="I27" s="5"/>
      <c r="J27" s="5"/>
      <c r="K27" s="5"/>
      <c r="L27" s="5"/>
      <c r="M27" s="5"/>
      <c r="N27" s="5"/>
      <c r="O27" s="5"/>
      <c r="P27" s="5"/>
      <c r="Q27" s="5"/>
      <c r="R27" s="5"/>
      <c r="S27" s="5"/>
      <c r="T27" s="5"/>
      <c r="U27" s="5"/>
      <c r="V27" s="5"/>
      <c r="W27" s="5"/>
      <c r="X27" s="5"/>
      <c r="Y27" s="5"/>
      <c r="Z27" s="8" t="s">
        <v>472</v>
      </c>
      <c r="AA27" s="5"/>
      <c r="AB27" s="5"/>
      <c r="AC27" s="5"/>
      <c r="AD27" s="5"/>
      <c r="AE27" s="5"/>
      <c r="AF27" s="5"/>
      <c r="AG27" s="5"/>
      <c r="AH27" s="5"/>
      <c r="AI27" s="5"/>
      <c r="AJ27" s="5"/>
      <c r="AK27" s="5"/>
      <c r="AL27" s="5"/>
      <c r="AM27" s="5"/>
      <c r="AN27" s="5"/>
      <c r="AO27" s="5"/>
      <c r="AP27" s="5"/>
      <c r="AQ27" s="5"/>
      <c r="AR27" s="5"/>
      <c r="AS27" s="5"/>
      <c r="AT27" s="5"/>
      <c r="AU27" s="5"/>
      <c r="AV27" s="5"/>
      <c r="AW27" s="5"/>
      <c r="AX27" s="5"/>
    </row>
    <row r="28" spans="1:50" ht="16" x14ac:dyDescent="0.2">
      <c r="A28" s="5" t="s">
        <v>190</v>
      </c>
      <c r="B28" s="5" t="s">
        <v>191</v>
      </c>
      <c r="C28" s="5" t="s">
        <v>28</v>
      </c>
      <c r="D28" s="7">
        <v>46170</v>
      </c>
      <c r="E28" s="7">
        <v>46170</v>
      </c>
      <c r="F28" s="5">
        <v>1</v>
      </c>
      <c r="G28" s="5" t="s">
        <v>25</v>
      </c>
      <c r="H28" s="5" t="s">
        <v>184</v>
      </c>
      <c r="I28" s="5"/>
      <c r="J28" s="5"/>
      <c r="K28" s="5"/>
      <c r="L28" s="5"/>
      <c r="M28" s="5"/>
      <c r="N28" s="5"/>
      <c r="O28" s="5"/>
      <c r="P28" s="5"/>
      <c r="Q28" s="5"/>
      <c r="R28" s="5"/>
      <c r="S28" s="5"/>
      <c r="T28" s="5"/>
      <c r="U28" s="5"/>
      <c r="V28" s="5"/>
      <c r="W28" s="5"/>
      <c r="X28" s="5"/>
      <c r="Y28" s="5"/>
      <c r="Z28" s="8" t="s">
        <v>472</v>
      </c>
      <c r="AA28" s="5"/>
      <c r="AB28" s="5"/>
      <c r="AC28" s="5"/>
      <c r="AD28" s="5"/>
      <c r="AE28" s="5"/>
      <c r="AF28" s="5"/>
      <c r="AG28" s="5"/>
      <c r="AH28" s="5"/>
      <c r="AI28" s="5"/>
      <c r="AJ28" s="5"/>
      <c r="AK28" s="5"/>
      <c r="AL28" s="5"/>
      <c r="AM28" s="5"/>
      <c r="AN28" s="5"/>
      <c r="AO28" s="5"/>
      <c r="AP28" s="5"/>
      <c r="AQ28" s="5"/>
      <c r="AR28" s="5"/>
      <c r="AS28" s="5"/>
      <c r="AT28" s="5"/>
      <c r="AU28" s="5"/>
      <c r="AV28" s="5"/>
      <c r="AW28" s="5"/>
      <c r="AX28" s="5"/>
    </row>
    <row r="29" spans="1:50" ht="16" x14ac:dyDescent="0.2">
      <c r="A29" s="5" t="s">
        <v>195</v>
      </c>
      <c r="B29" s="5" t="s">
        <v>197</v>
      </c>
      <c r="C29" s="5" t="s">
        <v>28</v>
      </c>
      <c r="D29" s="7">
        <v>46171</v>
      </c>
      <c r="E29" s="7">
        <v>46171</v>
      </c>
      <c r="F29" s="5">
        <v>1</v>
      </c>
      <c r="G29" s="5" t="s">
        <v>25</v>
      </c>
      <c r="H29" s="5" t="s">
        <v>184</v>
      </c>
      <c r="I29" s="5"/>
      <c r="J29" s="5"/>
      <c r="K29" s="5"/>
      <c r="L29" s="5"/>
      <c r="M29" s="5"/>
      <c r="N29" s="5"/>
      <c r="O29" s="5"/>
      <c r="P29" s="5"/>
      <c r="Q29" s="5"/>
      <c r="R29" s="5"/>
      <c r="S29" s="5"/>
      <c r="T29" s="5"/>
      <c r="U29" s="5"/>
      <c r="V29" s="5"/>
      <c r="W29" s="5"/>
      <c r="X29" s="5"/>
      <c r="Y29" s="5"/>
      <c r="Z29" s="5"/>
      <c r="AA29" s="8" t="s">
        <v>472</v>
      </c>
      <c r="AB29" s="5"/>
      <c r="AC29" s="5"/>
      <c r="AD29" s="5"/>
      <c r="AE29" s="5"/>
      <c r="AF29" s="5"/>
      <c r="AG29" s="5"/>
      <c r="AH29" s="5"/>
      <c r="AI29" s="5"/>
      <c r="AJ29" s="5"/>
      <c r="AK29" s="5"/>
      <c r="AL29" s="5"/>
      <c r="AM29" s="5"/>
      <c r="AN29" s="5"/>
      <c r="AO29" s="5"/>
      <c r="AP29" s="5"/>
      <c r="AQ29" s="5"/>
      <c r="AR29" s="5"/>
      <c r="AS29" s="5"/>
      <c r="AT29" s="5"/>
      <c r="AU29" s="5"/>
      <c r="AV29" s="5"/>
      <c r="AW29" s="5"/>
      <c r="AX29" s="5"/>
    </row>
    <row r="30" spans="1:50" ht="16" x14ac:dyDescent="0.2">
      <c r="A30" s="5" t="s">
        <v>200</v>
      </c>
      <c r="B30" s="5" t="s">
        <v>201</v>
      </c>
      <c r="C30" s="5" t="s">
        <v>28</v>
      </c>
      <c r="D30" s="7">
        <v>46171</v>
      </c>
      <c r="E30" s="7">
        <v>46172</v>
      </c>
      <c r="F30" s="5">
        <v>2</v>
      </c>
      <c r="G30" s="5" t="s">
        <v>25</v>
      </c>
      <c r="H30" s="5" t="s">
        <v>204</v>
      </c>
      <c r="I30" s="5"/>
      <c r="J30" s="5"/>
      <c r="K30" s="5"/>
      <c r="L30" s="5"/>
      <c r="M30" s="5"/>
      <c r="N30" s="5"/>
      <c r="O30" s="5"/>
      <c r="P30" s="5"/>
      <c r="Q30" s="5"/>
      <c r="R30" s="5"/>
      <c r="S30" s="5"/>
      <c r="T30" s="5"/>
      <c r="U30" s="5"/>
      <c r="V30" s="5"/>
      <c r="W30" s="5"/>
      <c r="X30" s="5"/>
      <c r="Y30" s="5"/>
      <c r="Z30" s="5"/>
      <c r="AA30" s="8" t="s">
        <v>472</v>
      </c>
      <c r="AB30" s="8" t="s">
        <v>472</v>
      </c>
      <c r="AC30" s="5"/>
      <c r="AD30" s="5"/>
      <c r="AE30" s="5"/>
      <c r="AF30" s="5"/>
      <c r="AG30" s="5"/>
      <c r="AH30" s="5"/>
      <c r="AI30" s="5"/>
      <c r="AJ30" s="5"/>
      <c r="AK30" s="5"/>
      <c r="AL30" s="5"/>
      <c r="AM30" s="5"/>
      <c r="AN30" s="5"/>
      <c r="AO30" s="5"/>
      <c r="AP30" s="5"/>
      <c r="AQ30" s="5"/>
      <c r="AR30" s="5"/>
      <c r="AS30" s="5"/>
      <c r="AT30" s="5"/>
      <c r="AU30" s="5"/>
      <c r="AV30" s="5"/>
      <c r="AW30" s="5"/>
      <c r="AX30" s="5"/>
    </row>
    <row r="31" spans="1:50" ht="16" x14ac:dyDescent="0.2">
      <c r="A31" s="5" t="s">
        <v>205</v>
      </c>
      <c r="B31" s="5" t="s">
        <v>206</v>
      </c>
      <c r="C31" s="5" t="s">
        <v>28</v>
      </c>
      <c r="D31" s="7">
        <v>46172</v>
      </c>
      <c r="E31" s="7">
        <v>46173</v>
      </c>
      <c r="F31" s="5">
        <v>2</v>
      </c>
      <c r="G31" s="5" t="s">
        <v>25</v>
      </c>
      <c r="H31" s="5" t="s">
        <v>200</v>
      </c>
      <c r="I31" s="5"/>
      <c r="J31" s="5"/>
      <c r="K31" s="5"/>
      <c r="L31" s="5"/>
      <c r="M31" s="5"/>
      <c r="N31" s="5"/>
      <c r="O31" s="5"/>
      <c r="P31" s="5"/>
      <c r="Q31" s="5"/>
      <c r="R31" s="5"/>
      <c r="S31" s="5"/>
      <c r="T31" s="5"/>
      <c r="U31" s="5"/>
      <c r="V31" s="5"/>
      <c r="W31" s="5"/>
      <c r="X31" s="5"/>
      <c r="Y31" s="5"/>
      <c r="Z31" s="5"/>
      <c r="AA31" s="5"/>
      <c r="AB31" s="8" t="s">
        <v>472</v>
      </c>
      <c r="AC31" s="8" t="s">
        <v>472</v>
      </c>
      <c r="AD31" s="5"/>
      <c r="AE31" s="5"/>
      <c r="AF31" s="5"/>
      <c r="AG31" s="5"/>
      <c r="AH31" s="5"/>
      <c r="AI31" s="5"/>
      <c r="AJ31" s="5"/>
      <c r="AK31" s="5"/>
      <c r="AL31" s="5"/>
      <c r="AM31" s="5"/>
      <c r="AN31" s="5"/>
      <c r="AO31" s="5"/>
      <c r="AP31" s="5"/>
      <c r="AQ31" s="5"/>
      <c r="AR31" s="5"/>
      <c r="AS31" s="5"/>
      <c r="AT31" s="5"/>
      <c r="AU31" s="5"/>
      <c r="AV31" s="5"/>
      <c r="AW31" s="5"/>
      <c r="AX31" s="5"/>
    </row>
    <row r="32" spans="1:50" ht="16" x14ac:dyDescent="0.2">
      <c r="A32" s="5" t="s">
        <v>209</v>
      </c>
      <c r="B32" s="5" t="s">
        <v>210</v>
      </c>
      <c r="C32" s="5" t="s">
        <v>28</v>
      </c>
      <c r="D32" s="7">
        <v>46173</v>
      </c>
      <c r="E32" s="7">
        <v>46174</v>
      </c>
      <c r="F32" s="5">
        <v>2</v>
      </c>
      <c r="G32" s="5" t="s">
        <v>25</v>
      </c>
      <c r="H32" s="5" t="s">
        <v>205</v>
      </c>
      <c r="I32" s="5"/>
      <c r="J32" s="5"/>
      <c r="K32" s="5"/>
      <c r="L32" s="5"/>
      <c r="M32" s="5"/>
      <c r="N32" s="5"/>
      <c r="O32" s="5"/>
      <c r="P32" s="5"/>
      <c r="Q32" s="5"/>
      <c r="R32" s="5"/>
      <c r="S32" s="5"/>
      <c r="T32" s="5"/>
      <c r="U32" s="5"/>
      <c r="V32" s="5"/>
      <c r="W32" s="5"/>
      <c r="X32" s="5"/>
      <c r="Y32" s="5"/>
      <c r="Z32" s="5"/>
      <c r="AA32" s="5"/>
      <c r="AB32" s="5"/>
      <c r="AC32" s="8" t="s">
        <v>472</v>
      </c>
      <c r="AD32" s="8" t="s">
        <v>472</v>
      </c>
      <c r="AE32" s="5"/>
      <c r="AF32" s="5"/>
      <c r="AG32" s="5"/>
      <c r="AH32" s="5"/>
      <c r="AI32" s="5"/>
      <c r="AJ32" s="5"/>
      <c r="AK32" s="5"/>
      <c r="AL32" s="5"/>
      <c r="AM32" s="5"/>
      <c r="AN32" s="5"/>
      <c r="AO32" s="5"/>
      <c r="AP32" s="5"/>
      <c r="AQ32" s="5"/>
      <c r="AR32" s="5"/>
      <c r="AS32" s="5"/>
      <c r="AT32" s="5"/>
      <c r="AU32" s="5"/>
      <c r="AV32" s="5"/>
      <c r="AW32" s="5"/>
      <c r="AX32" s="5"/>
    </row>
    <row r="33" spans="1:50" ht="16" x14ac:dyDescent="0.2">
      <c r="A33" s="5" t="s">
        <v>213</v>
      </c>
      <c r="B33" s="5" t="s">
        <v>214</v>
      </c>
      <c r="C33" s="5" t="s">
        <v>28</v>
      </c>
      <c r="D33" s="7">
        <v>46174</v>
      </c>
      <c r="E33" s="7">
        <v>46175</v>
      </c>
      <c r="F33" s="5">
        <v>2</v>
      </c>
      <c r="G33" s="5" t="s">
        <v>25</v>
      </c>
      <c r="H33" s="5" t="s">
        <v>217</v>
      </c>
      <c r="I33" s="5"/>
      <c r="J33" s="5"/>
      <c r="K33" s="5"/>
      <c r="L33" s="5"/>
      <c r="M33" s="5"/>
      <c r="N33" s="5"/>
      <c r="O33" s="5"/>
      <c r="P33" s="5"/>
      <c r="Q33" s="5"/>
      <c r="R33" s="5"/>
      <c r="S33" s="5"/>
      <c r="T33" s="5"/>
      <c r="U33" s="5"/>
      <c r="V33" s="5"/>
      <c r="W33" s="5"/>
      <c r="X33" s="5"/>
      <c r="Y33" s="5"/>
      <c r="Z33" s="5"/>
      <c r="AA33" s="5"/>
      <c r="AB33" s="5"/>
      <c r="AC33" s="5"/>
      <c r="AD33" s="8" t="s">
        <v>472</v>
      </c>
      <c r="AE33" s="8" t="s">
        <v>472</v>
      </c>
      <c r="AF33" s="5"/>
      <c r="AG33" s="5"/>
      <c r="AH33" s="5"/>
      <c r="AI33" s="5"/>
      <c r="AJ33" s="5"/>
      <c r="AK33" s="5"/>
      <c r="AL33" s="5"/>
      <c r="AM33" s="5"/>
      <c r="AN33" s="5"/>
      <c r="AO33" s="5"/>
      <c r="AP33" s="5"/>
      <c r="AQ33" s="5"/>
      <c r="AR33" s="5"/>
      <c r="AS33" s="5"/>
      <c r="AT33" s="5"/>
      <c r="AU33" s="5"/>
      <c r="AV33" s="5"/>
      <c r="AW33" s="5"/>
      <c r="AX33" s="5"/>
    </row>
    <row r="34" spans="1:50" ht="16" x14ac:dyDescent="0.2">
      <c r="A34" s="5" t="s">
        <v>218</v>
      </c>
      <c r="B34" s="5" t="s">
        <v>220</v>
      </c>
      <c r="C34" s="5" t="s">
        <v>28</v>
      </c>
      <c r="D34" s="7">
        <v>46173</v>
      </c>
      <c r="E34" s="7">
        <v>46174</v>
      </c>
      <c r="F34" s="5">
        <v>2</v>
      </c>
      <c r="G34" s="5" t="s">
        <v>25</v>
      </c>
      <c r="H34" s="5" t="s">
        <v>223</v>
      </c>
      <c r="I34" s="5"/>
      <c r="J34" s="5"/>
      <c r="K34" s="5"/>
      <c r="L34" s="5"/>
      <c r="M34" s="5"/>
      <c r="N34" s="5"/>
      <c r="O34" s="5"/>
      <c r="P34" s="5"/>
      <c r="Q34" s="5"/>
      <c r="R34" s="5"/>
      <c r="S34" s="5"/>
      <c r="T34" s="5"/>
      <c r="U34" s="5"/>
      <c r="V34" s="5"/>
      <c r="W34" s="5"/>
      <c r="X34" s="5"/>
      <c r="Y34" s="5"/>
      <c r="Z34" s="5"/>
      <c r="AA34" s="5"/>
      <c r="AB34" s="5"/>
      <c r="AC34" s="8" t="s">
        <v>472</v>
      </c>
      <c r="AD34" s="8" t="s">
        <v>472</v>
      </c>
      <c r="AE34" s="5"/>
      <c r="AF34" s="5"/>
      <c r="AG34" s="5"/>
      <c r="AH34" s="5"/>
      <c r="AI34" s="5"/>
      <c r="AJ34" s="5"/>
      <c r="AK34" s="5"/>
      <c r="AL34" s="5"/>
      <c r="AM34" s="5"/>
      <c r="AN34" s="5"/>
      <c r="AO34" s="5"/>
      <c r="AP34" s="5"/>
      <c r="AQ34" s="5"/>
      <c r="AR34" s="5"/>
      <c r="AS34" s="5"/>
      <c r="AT34" s="5"/>
      <c r="AU34" s="5"/>
      <c r="AV34" s="5"/>
      <c r="AW34" s="5"/>
      <c r="AX34" s="5"/>
    </row>
    <row r="35" spans="1:50" ht="16" x14ac:dyDescent="0.2">
      <c r="A35" s="5" t="s">
        <v>224</v>
      </c>
      <c r="B35" s="5" t="s">
        <v>225</v>
      </c>
      <c r="C35" s="5" t="s">
        <v>28</v>
      </c>
      <c r="D35" s="7">
        <v>46174</v>
      </c>
      <c r="E35" s="7">
        <v>46176</v>
      </c>
      <c r="F35" s="5">
        <v>3</v>
      </c>
      <c r="G35" s="5" t="s">
        <v>25</v>
      </c>
      <c r="H35" s="5" t="s">
        <v>228</v>
      </c>
      <c r="I35" s="5"/>
      <c r="J35" s="5"/>
      <c r="K35" s="5"/>
      <c r="L35" s="5"/>
      <c r="M35" s="5"/>
      <c r="N35" s="5"/>
      <c r="O35" s="5"/>
      <c r="P35" s="5"/>
      <c r="Q35" s="5"/>
      <c r="R35" s="5"/>
      <c r="S35" s="5"/>
      <c r="T35" s="5"/>
      <c r="U35" s="5"/>
      <c r="V35" s="5"/>
      <c r="W35" s="5"/>
      <c r="X35" s="5"/>
      <c r="Y35" s="5"/>
      <c r="Z35" s="5"/>
      <c r="AA35" s="5"/>
      <c r="AB35" s="5"/>
      <c r="AC35" s="5"/>
      <c r="AD35" s="8" t="s">
        <v>472</v>
      </c>
      <c r="AE35" s="8" t="s">
        <v>472</v>
      </c>
      <c r="AF35" s="8" t="s">
        <v>472</v>
      </c>
      <c r="AG35" s="5"/>
      <c r="AH35" s="5"/>
      <c r="AI35" s="5"/>
      <c r="AJ35" s="5"/>
      <c r="AK35" s="5"/>
      <c r="AL35" s="5"/>
      <c r="AM35" s="5"/>
      <c r="AN35" s="5"/>
      <c r="AO35" s="5"/>
      <c r="AP35" s="5"/>
      <c r="AQ35" s="5"/>
      <c r="AR35" s="5"/>
      <c r="AS35" s="5"/>
      <c r="AT35" s="5"/>
      <c r="AU35" s="5"/>
      <c r="AV35" s="5"/>
      <c r="AW35" s="5"/>
      <c r="AX35" s="5"/>
    </row>
    <row r="36" spans="1:50" ht="16" x14ac:dyDescent="0.2">
      <c r="A36" s="5" t="s">
        <v>229</v>
      </c>
      <c r="B36" s="5" t="s">
        <v>230</v>
      </c>
      <c r="C36" s="5" t="s">
        <v>28</v>
      </c>
      <c r="D36" s="7">
        <v>46176</v>
      </c>
      <c r="E36" s="7">
        <v>46177</v>
      </c>
      <c r="F36" s="5">
        <v>2</v>
      </c>
      <c r="G36" s="5" t="s">
        <v>25</v>
      </c>
      <c r="H36" s="5" t="s">
        <v>233</v>
      </c>
      <c r="I36" s="5"/>
      <c r="J36" s="5"/>
      <c r="K36" s="5"/>
      <c r="L36" s="5"/>
      <c r="M36" s="5"/>
      <c r="N36" s="5"/>
      <c r="O36" s="5"/>
      <c r="P36" s="5"/>
      <c r="Q36" s="5"/>
      <c r="R36" s="5"/>
      <c r="S36" s="5"/>
      <c r="T36" s="5"/>
      <c r="U36" s="5"/>
      <c r="V36" s="5"/>
      <c r="W36" s="5"/>
      <c r="X36" s="5"/>
      <c r="Y36" s="5"/>
      <c r="Z36" s="5"/>
      <c r="AA36" s="5"/>
      <c r="AB36" s="5"/>
      <c r="AC36" s="5"/>
      <c r="AD36" s="5"/>
      <c r="AE36" s="5"/>
      <c r="AF36" s="8" t="s">
        <v>472</v>
      </c>
      <c r="AG36" s="8" t="s">
        <v>472</v>
      </c>
      <c r="AH36" s="5"/>
      <c r="AI36" s="5"/>
      <c r="AJ36" s="5"/>
      <c r="AK36" s="5"/>
      <c r="AL36" s="5"/>
      <c r="AM36" s="5"/>
      <c r="AN36" s="5"/>
      <c r="AO36" s="5"/>
      <c r="AP36" s="5"/>
      <c r="AQ36" s="5"/>
      <c r="AR36" s="5"/>
      <c r="AS36" s="5"/>
      <c r="AT36" s="5"/>
      <c r="AU36" s="5"/>
      <c r="AV36" s="5"/>
      <c r="AW36" s="5"/>
      <c r="AX36" s="5"/>
    </row>
    <row r="37" spans="1:50" ht="16" x14ac:dyDescent="0.2">
      <c r="A37" s="5" t="s">
        <v>234</v>
      </c>
      <c r="B37" s="5" t="s">
        <v>236</v>
      </c>
      <c r="C37" s="5" t="s">
        <v>30</v>
      </c>
      <c r="D37" s="7">
        <v>46178</v>
      </c>
      <c r="E37" s="7">
        <v>46178</v>
      </c>
      <c r="F37" s="5">
        <v>1</v>
      </c>
      <c r="G37" s="5" t="s">
        <v>25</v>
      </c>
      <c r="H37" s="5" t="s">
        <v>117</v>
      </c>
      <c r="I37" s="5"/>
      <c r="J37" s="5"/>
      <c r="K37" s="5"/>
      <c r="L37" s="5"/>
      <c r="M37" s="5"/>
      <c r="N37" s="5"/>
      <c r="O37" s="5"/>
      <c r="P37" s="5"/>
      <c r="Q37" s="5"/>
      <c r="R37" s="5"/>
      <c r="S37" s="5"/>
      <c r="T37" s="5"/>
      <c r="U37" s="5"/>
      <c r="V37" s="5"/>
      <c r="W37" s="5"/>
      <c r="X37" s="5"/>
      <c r="Y37" s="5"/>
      <c r="Z37" s="5"/>
      <c r="AA37" s="5"/>
      <c r="AB37" s="5"/>
      <c r="AC37" s="5"/>
      <c r="AD37" s="5"/>
      <c r="AE37" s="5"/>
      <c r="AF37" s="5"/>
      <c r="AG37" s="5"/>
      <c r="AH37" s="8" t="s">
        <v>472</v>
      </c>
      <c r="AI37" s="5"/>
      <c r="AJ37" s="5"/>
      <c r="AK37" s="5"/>
      <c r="AL37" s="5"/>
      <c r="AM37" s="5"/>
      <c r="AN37" s="5"/>
      <c r="AO37" s="5"/>
      <c r="AP37" s="5"/>
      <c r="AQ37" s="5"/>
      <c r="AR37" s="5"/>
      <c r="AS37" s="5"/>
      <c r="AT37" s="5"/>
      <c r="AU37" s="5"/>
      <c r="AV37" s="5"/>
      <c r="AW37" s="5"/>
      <c r="AX37" s="5"/>
    </row>
    <row r="38" spans="1:50" ht="16" x14ac:dyDescent="0.2">
      <c r="A38" s="5" t="s">
        <v>240</v>
      </c>
      <c r="B38" s="5" t="s">
        <v>242</v>
      </c>
      <c r="C38" s="5" t="s">
        <v>30</v>
      </c>
      <c r="D38" s="7">
        <v>46178</v>
      </c>
      <c r="E38" s="7">
        <v>46179</v>
      </c>
      <c r="F38" s="5">
        <v>2</v>
      </c>
      <c r="G38" s="5" t="s">
        <v>25</v>
      </c>
      <c r="H38" s="5" t="s">
        <v>245</v>
      </c>
      <c r="I38" s="5"/>
      <c r="J38" s="5"/>
      <c r="K38" s="5"/>
      <c r="L38" s="5"/>
      <c r="M38" s="5"/>
      <c r="N38" s="5"/>
      <c r="O38" s="5"/>
      <c r="P38" s="5"/>
      <c r="Q38" s="5"/>
      <c r="R38" s="5"/>
      <c r="S38" s="5"/>
      <c r="T38" s="5"/>
      <c r="U38" s="5"/>
      <c r="V38" s="5"/>
      <c r="W38" s="5"/>
      <c r="X38" s="5"/>
      <c r="Y38" s="5"/>
      <c r="Z38" s="5"/>
      <c r="AA38" s="5"/>
      <c r="AB38" s="5"/>
      <c r="AC38" s="5"/>
      <c r="AD38" s="5"/>
      <c r="AE38" s="5"/>
      <c r="AF38" s="5"/>
      <c r="AG38" s="5"/>
      <c r="AH38" s="8" t="s">
        <v>472</v>
      </c>
      <c r="AI38" s="8" t="s">
        <v>472</v>
      </c>
      <c r="AJ38" s="5"/>
      <c r="AK38" s="5"/>
      <c r="AL38" s="5"/>
      <c r="AM38" s="5"/>
      <c r="AN38" s="5"/>
      <c r="AO38" s="5"/>
      <c r="AP38" s="5"/>
      <c r="AQ38" s="5"/>
      <c r="AR38" s="5"/>
      <c r="AS38" s="5"/>
      <c r="AT38" s="5"/>
      <c r="AU38" s="5"/>
      <c r="AV38" s="5"/>
      <c r="AW38" s="5"/>
      <c r="AX38" s="5"/>
    </row>
    <row r="39" spans="1:50" ht="16" x14ac:dyDescent="0.2">
      <c r="A39" s="5" t="s">
        <v>246</v>
      </c>
      <c r="B39" s="5" t="s">
        <v>247</v>
      </c>
      <c r="C39" s="5" t="s">
        <v>30</v>
      </c>
      <c r="D39" s="7">
        <v>46179</v>
      </c>
      <c r="E39" s="7">
        <v>46180</v>
      </c>
      <c r="F39" s="5">
        <v>2</v>
      </c>
      <c r="G39" s="5" t="s">
        <v>25</v>
      </c>
      <c r="H39" s="5" t="s">
        <v>240</v>
      </c>
      <c r="I39" s="5"/>
      <c r="J39" s="5"/>
      <c r="K39" s="5"/>
      <c r="L39" s="5"/>
      <c r="M39" s="5"/>
      <c r="N39" s="5"/>
      <c r="O39" s="5"/>
      <c r="P39" s="5"/>
      <c r="Q39" s="5"/>
      <c r="R39" s="5"/>
      <c r="S39" s="5"/>
      <c r="T39" s="5"/>
      <c r="U39" s="5"/>
      <c r="V39" s="5"/>
      <c r="W39" s="5"/>
      <c r="X39" s="5"/>
      <c r="Y39" s="5"/>
      <c r="Z39" s="5"/>
      <c r="AA39" s="5"/>
      <c r="AB39" s="5"/>
      <c r="AC39" s="5"/>
      <c r="AD39" s="5"/>
      <c r="AE39" s="5"/>
      <c r="AF39" s="5"/>
      <c r="AG39" s="5"/>
      <c r="AH39" s="5"/>
      <c r="AI39" s="8" t="s">
        <v>472</v>
      </c>
      <c r="AJ39" s="8" t="s">
        <v>472</v>
      </c>
      <c r="AK39" s="5"/>
      <c r="AL39" s="5"/>
      <c r="AM39" s="5"/>
      <c r="AN39" s="5"/>
      <c r="AO39" s="5"/>
      <c r="AP39" s="5"/>
      <c r="AQ39" s="5"/>
      <c r="AR39" s="5"/>
      <c r="AS39" s="5"/>
      <c r="AT39" s="5"/>
      <c r="AU39" s="5"/>
      <c r="AV39" s="5"/>
      <c r="AW39" s="5"/>
      <c r="AX39" s="5"/>
    </row>
    <row r="40" spans="1:50" ht="16" x14ac:dyDescent="0.2">
      <c r="A40" s="5" t="s">
        <v>250</v>
      </c>
      <c r="B40" s="5" t="s">
        <v>252</v>
      </c>
      <c r="C40" s="5" t="s">
        <v>30</v>
      </c>
      <c r="D40" s="7">
        <v>46180</v>
      </c>
      <c r="E40" s="7">
        <v>46181</v>
      </c>
      <c r="F40" s="5">
        <v>2</v>
      </c>
      <c r="G40" s="5" t="s">
        <v>25</v>
      </c>
      <c r="H40" s="5" t="s">
        <v>240</v>
      </c>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8" t="s">
        <v>472</v>
      </c>
      <c r="AK40" s="8" t="s">
        <v>472</v>
      </c>
      <c r="AL40" s="5"/>
      <c r="AM40" s="5"/>
      <c r="AN40" s="5"/>
      <c r="AO40" s="5"/>
      <c r="AP40" s="5"/>
      <c r="AQ40" s="5"/>
      <c r="AR40" s="5"/>
      <c r="AS40" s="5"/>
      <c r="AT40" s="5"/>
      <c r="AU40" s="5"/>
      <c r="AV40" s="5"/>
      <c r="AW40" s="5"/>
      <c r="AX40" s="5"/>
    </row>
    <row r="41" spans="1:50" ht="16" x14ac:dyDescent="0.2">
      <c r="A41" s="5" t="s">
        <v>255</v>
      </c>
      <c r="B41" s="5" t="s">
        <v>257</v>
      </c>
      <c r="C41" s="5" t="s">
        <v>30</v>
      </c>
      <c r="D41" s="7">
        <v>46180</v>
      </c>
      <c r="E41" s="7">
        <v>46180</v>
      </c>
      <c r="F41" s="5">
        <v>1</v>
      </c>
      <c r="G41" s="5" t="s">
        <v>25</v>
      </c>
      <c r="H41" s="5" t="s">
        <v>260</v>
      </c>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8" t="s">
        <v>472</v>
      </c>
      <c r="AK41" s="5"/>
      <c r="AL41" s="5"/>
      <c r="AM41" s="5"/>
      <c r="AN41" s="5"/>
      <c r="AO41" s="5"/>
      <c r="AP41" s="5"/>
      <c r="AQ41" s="5"/>
      <c r="AR41" s="5"/>
      <c r="AS41" s="5"/>
      <c r="AT41" s="5"/>
      <c r="AU41" s="5"/>
      <c r="AV41" s="5"/>
      <c r="AW41" s="5"/>
      <c r="AX41" s="5"/>
    </row>
    <row r="42" spans="1:50" ht="16" x14ac:dyDescent="0.2">
      <c r="A42" s="5" t="s">
        <v>262</v>
      </c>
      <c r="B42" s="5" t="s">
        <v>263</v>
      </c>
      <c r="C42" s="5" t="s">
        <v>30</v>
      </c>
      <c r="D42" s="7">
        <v>46181</v>
      </c>
      <c r="E42" s="7">
        <v>46182</v>
      </c>
      <c r="F42" s="5">
        <v>2</v>
      </c>
      <c r="G42" s="5" t="s">
        <v>25</v>
      </c>
      <c r="H42" s="5" t="s">
        <v>255</v>
      </c>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8" t="s">
        <v>472</v>
      </c>
      <c r="AL42" s="8" t="s">
        <v>472</v>
      </c>
      <c r="AM42" s="5"/>
      <c r="AN42" s="5"/>
      <c r="AO42" s="5"/>
      <c r="AP42" s="5"/>
      <c r="AQ42" s="5"/>
      <c r="AR42" s="5"/>
      <c r="AS42" s="5"/>
      <c r="AT42" s="5"/>
      <c r="AU42" s="5"/>
      <c r="AV42" s="5"/>
      <c r="AW42" s="5"/>
      <c r="AX42" s="5"/>
    </row>
    <row r="43" spans="1:50" ht="16" x14ac:dyDescent="0.2">
      <c r="A43" s="5" t="s">
        <v>266</v>
      </c>
      <c r="B43" s="5" t="s">
        <v>267</v>
      </c>
      <c r="C43" s="5" t="s">
        <v>30</v>
      </c>
      <c r="D43" s="7">
        <v>46182</v>
      </c>
      <c r="E43" s="7">
        <v>46184</v>
      </c>
      <c r="F43" s="5">
        <v>3</v>
      </c>
      <c r="G43" s="5" t="s">
        <v>25</v>
      </c>
      <c r="H43" s="5" t="s">
        <v>270</v>
      </c>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8" t="s">
        <v>472</v>
      </c>
      <c r="AM43" s="8" t="s">
        <v>472</v>
      </c>
      <c r="AN43" s="8" t="s">
        <v>472</v>
      </c>
      <c r="AO43" s="5"/>
      <c r="AP43" s="5"/>
      <c r="AQ43" s="5"/>
      <c r="AR43" s="5"/>
      <c r="AS43" s="5"/>
      <c r="AT43" s="5"/>
      <c r="AU43" s="5"/>
      <c r="AV43" s="5"/>
      <c r="AW43" s="5"/>
      <c r="AX43" s="5"/>
    </row>
    <row r="44" spans="1:50" ht="16" x14ac:dyDescent="0.2">
      <c r="A44" s="5" t="s">
        <v>271</v>
      </c>
      <c r="B44" s="5" t="s">
        <v>272</v>
      </c>
      <c r="C44" s="5" t="s">
        <v>30</v>
      </c>
      <c r="D44" s="7">
        <v>46183</v>
      </c>
      <c r="E44" s="7">
        <v>46185</v>
      </c>
      <c r="F44" s="5">
        <v>3</v>
      </c>
      <c r="G44" s="5" t="s">
        <v>25</v>
      </c>
      <c r="H44" s="5" t="s">
        <v>275</v>
      </c>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8" t="s">
        <v>472</v>
      </c>
      <c r="AN44" s="8" t="s">
        <v>472</v>
      </c>
      <c r="AO44" s="8" t="s">
        <v>472</v>
      </c>
      <c r="AP44" s="5"/>
      <c r="AQ44" s="5"/>
      <c r="AR44" s="5"/>
      <c r="AS44" s="5"/>
      <c r="AT44" s="5"/>
      <c r="AU44" s="5"/>
      <c r="AV44" s="5"/>
      <c r="AW44" s="5"/>
      <c r="AX44" s="5"/>
    </row>
    <row r="45" spans="1:50" ht="16" x14ac:dyDescent="0.2">
      <c r="A45" s="5" t="s">
        <v>276</v>
      </c>
      <c r="B45" s="5" t="s">
        <v>278</v>
      </c>
      <c r="C45" s="5" t="s">
        <v>31</v>
      </c>
      <c r="D45" s="7">
        <v>46186</v>
      </c>
      <c r="E45" s="7">
        <v>46186</v>
      </c>
      <c r="F45" s="5">
        <v>1</v>
      </c>
      <c r="G45" s="5" t="s">
        <v>25</v>
      </c>
      <c r="H45" s="5" t="s">
        <v>117</v>
      </c>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8" t="s">
        <v>472</v>
      </c>
      <c r="AQ45" s="5"/>
      <c r="AR45" s="5"/>
      <c r="AS45" s="5"/>
      <c r="AT45" s="5"/>
      <c r="AU45" s="5"/>
      <c r="AV45" s="5"/>
      <c r="AW45" s="5"/>
      <c r="AX45" s="5"/>
    </row>
    <row r="46" spans="1:50" ht="16" x14ac:dyDescent="0.2">
      <c r="A46" s="5" t="s">
        <v>282</v>
      </c>
      <c r="B46" s="5" t="s">
        <v>283</v>
      </c>
      <c r="C46" s="5" t="s">
        <v>31</v>
      </c>
      <c r="D46" s="7">
        <v>46187</v>
      </c>
      <c r="E46" s="7">
        <v>46188</v>
      </c>
      <c r="F46" s="5">
        <v>2</v>
      </c>
      <c r="G46" s="5" t="s">
        <v>25</v>
      </c>
      <c r="H46" s="5" t="s">
        <v>286</v>
      </c>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8" t="s">
        <v>472</v>
      </c>
      <c r="AR46" s="8" t="s">
        <v>472</v>
      </c>
      <c r="AS46" s="5"/>
      <c r="AT46" s="5"/>
      <c r="AU46" s="5"/>
      <c r="AV46" s="5"/>
      <c r="AW46" s="5"/>
      <c r="AX46" s="5"/>
    </row>
    <row r="47" spans="1:50" ht="16" x14ac:dyDescent="0.2">
      <c r="A47" s="5" t="s">
        <v>287</v>
      </c>
      <c r="B47" s="5" t="s">
        <v>288</v>
      </c>
      <c r="C47" s="5" t="s">
        <v>31</v>
      </c>
      <c r="D47" s="7">
        <v>46188</v>
      </c>
      <c r="E47" s="7">
        <v>46188</v>
      </c>
      <c r="F47" s="5">
        <v>1</v>
      </c>
      <c r="G47" s="5" t="s">
        <v>25</v>
      </c>
      <c r="H47" s="5" t="s">
        <v>282</v>
      </c>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8" t="s">
        <v>472</v>
      </c>
      <c r="AS47" s="5"/>
      <c r="AT47" s="5"/>
      <c r="AU47" s="5"/>
      <c r="AV47" s="5"/>
      <c r="AW47" s="5"/>
      <c r="AX47" s="5"/>
    </row>
    <row r="48" spans="1:50" ht="16" x14ac:dyDescent="0.2">
      <c r="A48" s="5" t="s">
        <v>291</v>
      </c>
      <c r="B48" s="5" t="s">
        <v>292</v>
      </c>
      <c r="C48" s="5" t="s">
        <v>31</v>
      </c>
      <c r="D48" s="7">
        <v>46189</v>
      </c>
      <c r="E48" s="7">
        <v>46190</v>
      </c>
      <c r="F48" s="5">
        <v>2</v>
      </c>
      <c r="G48" s="5" t="s">
        <v>25</v>
      </c>
      <c r="H48" s="5" t="s">
        <v>295</v>
      </c>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8" t="s">
        <v>472</v>
      </c>
      <c r="AT48" s="8" t="s">
        <v>472</v>
      </c>
      <c r="AU48" s="5"/>
      <c r="AV48" s="5"/>
      <c r="AW48" s="5"/>
      <c r="AX48" s="5"/>
    </row>
    <row r="49" spans="1:50" ht="16" x14ac:dyDescent="0.2">
      <c r="A49" s="5" t="s">
        <v>296</v>
      </c>
      <c r="B49" s="5" t="s">
        <v>298</v>
      </c>
      <c r="C49" s="5" t="s">
        <v>31</v>
      </c>
      <c r="D49" s="7">
        <v>46188</v>
      </c>
      <c r="E49" s="7">
        <v>46189</v>
      </c>
      <c r="F49" s="5">
        <v>2</v>
      </c>
      <c r="G49" s="5" t="s">
        <v>25</v>
      </c>
      <c r="H49" s="5" t="s">
        <v>301</v>
      </c>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8" t="s">
        <v>472</v>
      </c>
      <c r="AS49" s="8" t="s">
        <v>472</v>
      </c>
      <c r="AT49" s="5"/>
      <c r="AU49" s="5"/>
      <c r="AV49" s="5"/>
      <c r="AW49" s="5"/>
      <c r="AX49" s="5"/>
    </row>
    <row r="50" spans="1:50" ht="16" x14ac:dyDescent="0.2">
      <c r="A50" s="5" t="s">
        <v>302</v>
      </c>
      <c r="B50" s="5" t="s">
        <v>303</v>
      </c>
      <c r="C50" s="5" t="s">
        <v>31</v>
      </c>
      <c r="D50" s="7">
        <v>46189</v>
      </c>
      <c r="E50" s="7">
        <v>46190</v>
      </c>
      <c r="F50" s="5">
        <v>2</v>
      </c>
      <c r="G50" s="5" t="s">
        <v>25</v>
      </c>
      <c r="H50" s="5" t="s">
        <v>271</v>
      </c>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8" t="s">
        <v>472</v>
      </c>
      <c r="AT50" s="8" t="s">
        <v>472</v>
      </c>
      <c r="AU50" s="5"/>
      <c r="AV50" s="5"/>
      <c r="AW50" s="5"/>
      <c r="AX50" s="5"/>
    </row>
    <row r="51" spans="1:50" ht="16" x14ac:dyDescent="0.2">
      <c r="A51" s="5" t="s">
        <v>306</v>
      </c>
      <c r="B51" s="5" t="s">
        <v>308</v>
      </c>
      <c r="C51" s="5" t="s">
        <v>31</v>
      </c>
      <c r="D51" s="7">
        <v>46190</v>
      </c>
      <c r="E51" s="7">
        <v>46191</v>
      </c>
      <c r="F51" s="5">
        <v>2</v>
      </c>
      <c r="G51" s="5" t="s">
        <v>25</v>
      </c>
      <c r="H51" s="5" t="s">
        <v>205</v>
      </c>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8" t="s">
        <v>472</v>
      </c>
      <c r="AU51" s="8" t="s">
        <v>472</v>
      </c>
      <c r="AV51" s="5"/>
      <c r="AW51" s="5"/>
      <c r="AX51" s="5"/>
    </row>
    <row r="52" spans="1:50" ht="16" x14ac:dyDescent="0.2">
      <c r="A52" s="5" t="s">
        <v>311</v>
      </c>
      <c r="B52" s="5" t="s">
        <v>312</v>
      </c>
      <c r="C52" s="5" t="s">
        <v>31</v>
      </c>
      <c r="D52" s="7">
        <v>46191</v>
      </c>
      <c r="E52" s="7">
        <v>46191</v>
      </c>
      <c r="F52" s="5">
        <v>1</v>
      </c>
      <c r="G52" s="5" t="s">
        <v>25</v>
      </c>
      <c r="H52" s="5" t="s">
        <v>315</v>
      </c>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8" t="s">
        <v>472</v>
      </c>
      <c r="AV52" s="5"/>
      <c r="AW52" s="5"/>
      <c r="AX52" s="5"/>
    </row>
    <row r="53" spans="1:50" ht="16" x14ac:dyDescent="0.2">
      <c r="A53" s="5" t="s">
        <v>316</v>
      </c>
      <c r="B53" s="5" t="s">
        <v>318</v>
      </c>
      <c r="C53" s="5" t="s">
        <v>32</v>
      </c>
      <c r="D53" s="7">
        <v>46193</v>
      </c>
      <c r="E53" s="7">
        <v>46194</v>
      </c>
      <c r="F53" s="5">
        <v>2</v>
      </c>
      <c r="G53" s="5" t="s">
        <v>25</v>
      </c>
      <c r="H53" s="5" t="s">
        <v>321</v>
      </c>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8" t="s">
        <v>472</v>
      </c>
      <c r="AX53" s="8" t="s">
        <v>472</v>
      </c>
    </row>
    <row r="54" spans="1:50" ht="16" x14ac:dyDescent="0.2">
      <c r="A54" s="5" t="s">
        <v>323</v>
      </c>
      <c r="B54" s="5" t="s">
        <v>324</v>
      </c>
      <c r="C54" s="5" t="s">
        <v>32</v>
      </c>
      <c r="D54" s="7">
        <v>46194</v>
      </c>
      <c r="E54" s="7">
        <v>46195</v>
      </c>
      <c r="F54" s="5">
        <v>2</v>
      </c>
      <c r="G54" s="5" t="s">
        <v>25</v>
      </c>
      <c r="H54" s="5" t="s">
        <v>316</v>
      </c>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8" t="s">
        <v>472</v>
      </c>
    </row>
    <row r="55" spans="1:50" ht="32" x14ac:dyDescent="0.2">
      <c r="A55" s="5" t="s">
        <v>328</v>
      </c>
      <c r="B55" s="5" t="s">
        <v>329</v>
      </c>
      <c r="C55" s="5" t="s">
        <v>32</v>
      </c>
      <c r="D55" s="7">
        <v>46195</v>
      </c>
      <c r="E55" s="7">
        <v>46196</v>
      </c>
      <c r="F55" s="5">
        <v>2</v>
      </c>
      <c r="G55" s="5" t="s">
        <v>25</v>
      </c>
      <c r="H55" s="5" t="s">
        <v>332</v>
      </c>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row>
    <row r="56" spans="1:50" ht="16" x14ac:dyDescent="0.2">
      <c r="A56" s="5" t="s">
        <v>334</v>
      </c>
      <c r="B56" s="5" t="s">
        <v>336</v>
      </c>
      <c r="C56" s="5" t="s">
        <v>32</v>
      </c>
      <c r="D56" s="7">
        <v>46196</v>
      </c>
      <c r="E56" s="7">
        <v>46197</v>
      </c>
      <c r="F56" s="5">
        <v>2</v>
      </c>
      <c r="G56" s="5" t="s">
        <v>25</v>
      </c>
      <c r="H56" s="5" t="s">
        <v>340</v>
      </c>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row>
    <row r="57" spans="1:50" ht="16" x14ac:dyDescent="0.2">
      <c r="A57" s="5" t="s">
        <v>341</v>
      </c>
      <c r="B57" s="5" t="s">
        <v>342</v>
      </c>
      <c r="C57" s="5" t="s">
        <v>32</v>
      </c>
      <c r="D57" s="7">
        <v>46197</v>
      </c>
      <c r="E57" s="7">
        <v>46198</v>
      </c>
      <c r="F57" s="5">
        <v>2</v>
      </c>
      <c r="G57" s="5" t="s">
        <v>25</v>
      </c>
      <c r="H57" s="5" t="s">
        <v>345</v>
      </c>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row>
    <row r="58" spans="1:50" ht="16" x14ac:dyDescent="0.2">
      <c r="A58" s="5" t="s">
        <v>346</v>
      </c>
      <c r="B58" s="5" t="s">
        <v>347</v>
      </c>
      <c r="C58" s="5" t="s">
        <v>32</v>
      </c>
      <c r="D58" s="7">
        <v>46198</v>
      </c>
      <c r="E58" s="7">
        <v>46199</v>
      </c>
      <c r="F58" s="5">
        <v>2</v>
      </c>
      <c r="G58" s="5" t="s">
        <v>25</v>
      </c>
      <c r="H58" s="5" t="s">
        <v>350</v>
      </c>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row>
    <row r="59" spans="1:50" ht="16" x14ac:dyDescent="0.2">
      <c r="A59" s="5" t="s">
        <v>351</v>
      </c>
      <c r="B59" s="5" t="s">
        <v>352</v>
      </c>
      <c r="C59" s="5" t="s">
        <v>32</v>
      </c>
      <c r="D59" s="7">
        <v>46199</v>
      </c>
      <c r="E59" s="7">
        <v>46200</v>
      </c>
      <c r="F59" s="5">
        <v>2</v>
      </c>
      <c r="G59" s="5" t="s">
        <v>25</v>
      </c>
      <c r="H59" s="5" t="s">
        <v>355</v>
      </c>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row>
    <row r="60" spans="1:50" ht="16" x14ac:dyDescent="0.2">
      <c r="A60" s="5" t="s">
        <v>357</v>
      </c>
      <c r="B60" s="5" t="s">
        <v>359</v>
      </c>
      <c r="C60" s="5" t="s">
        <v>33</v>
      </c>
      <c r="D60" s="7">
        <v>46201</v>
      </c>
      <c r="E60" s="7">
        <v>46202</v>
      </c>
      <c r="F60" s="5">
        <v>2</v>
      </c>
      <c r="G60" s="5" t="s">
        <v>25</v>
      </c>
      <c r="H60" s="5" t="s">
        <v>362</v>
      </c>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c r="AW60" s="5"/>
      <c r="AX60" s="5"/>
    </row>
    <row r="61" spans="1:50" ht="16" x14ac:dyDescent="0.2">
      <c r="A61" s="5" t="s">
        <v>364</v>
      </c>
      <c r="B61" s="5" t="s">
        <v>365</v>
      </c>
      <c r="C61" s="5" t="s">
        <v>33</v>
      </c>
      <c r="D61" s="7">
        <v>46202</v>
      </c>
      <c r="E61" s="7">
        <v>46202</v>
      </c>
      <c r="F61" s="5">
        <v>1</v>
      </c>
      <c r="G61" s="5" t="s">
        <v>25</v>
      </c>
      <c r="H61" s="5" t="s">
        <v>357</v>
      </c>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row>
    <row r="62" spans="1:50" ht="16" x14ac:dyDescent="0.2">
      <c r="A62" s="5" t="s">
        <v>369</v>
      </c>
      <c r="B62" s="5" t="s">
        <v>370</v>
      </c>
      <c r="C62" s="5" t="s">
        <v>33</v>
      </c>
      <c r="D62" s="7">
        <v>46202</v>
      </c>
      <c r="E62" s="7">
        <v>46203</v>
      </c>
      <c r="F62" s="5">
        <v>2</v>
      </c>
      <c r="G62" s="5" t="s">
        <v>25</v>
      </c>
      <c r="H62" s="5" t="s">
        <v>357</v>
      </c>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row>
    <row r="63" spans="1:50" ht="16" x14ac:dyDescent="0.2">
      <c r="A63" s="5" t="s">
        <v>373</v>
      </c>
      <c r="B63" s="5" t="s">
        <v>374</v>
      </c>
      <c r="C63" s="5" t="s">
        <v>33</v>
      </c>
      <c r="D63" s="7">
        <v>46203</v>
      </c>
      <c r="E63" s="7">
        <v>46204</v>
      </c>
      <c r="F63" s="5">
        <v>2</v>
      </c>
      <c r="G63" s="5" t="s">
        <v>25</v>
      </c>
      <c r="H63" s="5" t="s">
        <v>377</v>
      </c>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row>
    <row r="64" spans="1:50" ht="16" x14ac:dyDescent="0.2">
      <c r="A64" s="5" t="s">
        <v>379</v>
      </c>
      <c r="B64" s="5" t="s">
        <v>380</v>
      </c>
      <c r="C64" s="5" t="s">
        <v>33</v>
      </c>
      <c r="D64" s="7">
        <v>46205</v>
      </c>
      <c r="E64" s="7">
        <v>46205</v>
      </c>
      <c r="F64" s="5">
        <v>1</v>
      </c>
      <c r="G64" s="5" t="s">
        <v>25</v>
      </c>
      <c r="H64" s="5" t="s">
        <v>383</v>
      </c>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c r="AO64" s="5"/>
      <c r="AP64" s="5"/>
      <c r="AQ64" s="5"/>
      <c r="AR64" s="5"/>
      <c r="AS64" s="5"/>
      <c r="AT64" s="5"/>
      <c r="AU64" s="5"/>
      <c r="AV64" s="5"/>
      <c r="AW64" s="5"/>
      <c r="AX64" s="5"/>
    </row>
    <row r="65" spans="1:50" ht="16" x14ac:dyDescent="0.2">
      <c r="A65" s="5" t="s">
        <v>385</v>
      </c>
      <c r="B65" s="5" t="s">
        <v>387</v>
      </c>
      <c r="C65" s="5" t="s">
        <v>33</v>
      </c>
      <c r="D65" s="7">
        <v>46206</v>
      </c>
      <c r="E65" s="7">
        <v>46206</v>
      </c>
      <c r="F65" s="5">
        <v>1</v>
      </c>
      <c r="G65" s="5" t="s">
        <v>25</v>
      </c>
      <c r="H65" s="5" t="s">
        <v>391</v>
      </c>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row>
    <row r="66" spans="1:50" ht="16" x14ac:dyDescent="0.2">
      <c r="A66" s="5" t="s">
        <v>393</v>
      </c>
      <c r="B66" s="5" t="s">
        <v>394</v>
      </c>
      <c r="C66" s="5" t="s">
        <v>33</v>
      </c>
      <c r="D66" s="7">
        <v>46206</v>
      </c>
      <c r="E66" s="7">
        <v>46207</v>
      </c>
      <c r="F66" s="5">
        <v>2</v>
      </c>
      <c r="G66" s="5" t="s">
        <v>25</v>
      </c>
      <c r="H66" s="5" t="s">
        <v>385</v>
      </c>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c r="AO66" s="5"/>
      <c r="AP66" s="5"/>
      <c r="AQ66" s="5"/>
      <c r="AR66" s="5"/>
      <c r="AS66" s="5"/>
      <c r="AT66" s="5"/>
      <c r="AU66" s="5"/>
      <c r="AV66" s="5"/>
      <c r="AW66" s="5"/>
      <c r="AX66" s="5"/>
    </row>
    <row r="67" spans="1:50" ht="16" x14ac:dyDescent="0.2">
      <c r="A67" s="5" t="s">
        <v>398</v>
      </c>
      <c r="B67" s="5" t="s">
        <v>400</v>
      </c>
      <c r="C67" s="5" t="s">
        <v>34</v>
      </c>
      <c r="D67" s="7">
        <v>46208</v>
      </c>
      <c r="E67" s="7">
        <v>46209</v>
      </c>
      <c r="F67" s="5">
        <v>2</v>
      </c>
      <c r="G67" s="5" t="s">
        <v>25</v>
      </c>
      <c r="H67" s="5" t="s">
        <v>385</v>
      </c>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row>
    <row r="68" spans="1:50" ht="16" x14ac:dyDescent="0.2">
      <c r="A68" s="5" t="s">
        <v>404</v>
      </c>
      <c r="B68" s="5" t="s">
        <v>405</v>
      </c>
      <c r="C68" s="5" t="s">
        <v>34</v>
      </c>
      <c r="D68" s="7">
        <v>46210</v>
      </c>
      <c r="E68" s="7">
        <v>46211</v>
      </c>
      <c r="F68" s="5">
        <v>2</v>
      </c>
      <c r="G68" s="5" t="s">
        <v>25</v>
      </c>
      <c r="H68" s="5" t="s">
        <v>398</v>
      </c>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c r="AO68" s="5"/>
      <c r="AP68" s="5"/>
      <c r="AQ68" s="5"/>
      <c r="AR68" s="5"/>
      <c r="AS68" s="5"/>
      <c r="AT68" s="5"/>
      <c r="AU68" s="5"/>
      <c r="AV68" s="5"/>
      <c r="AW68" s="5"/>
      <c r="AX68" s="5"/>
    </row>
    <row r="69" spans="1:50" ht="16" x14ac:dyDescent="0.2">
      <c r="A69" s="5" t="s">
        <v>409</v>
      </c>
      <c r="B69" s="5" t="s">
        <v>410</v>
      </c>
      <c r="C69" s="5" t="s">
        <v>34</v>
      </c>
      <c r="D69" s="7">
        <v>46212</v>
      </c>
      <c r="E69" s="7">
        <v>46213</v>
      </c>
      <c r="F69" s="5">
        <v>2</v>
      </c>
      <c r="G69" s="5" t="s">
        <v>25</v>
      </c>
      <c r="H69" s="5" t="s">
        <v>413</v>
      </c>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row>
    <row r="70" spans="1:50" ht="16" x14ac:dyDescent="0.2">
      <c r="A70" s="5" t="s">
        <v>414</v>
      </c>
      <c r="B70" s="5" t="s">
        <v>416</v>
      </c>
      <c r="C70" s="5" t="s">
        <v>34</v>
      </c>
      <c r="D70" s="7">
        <v>46214</v>
      </c>
      <c r="E70" s="7">
        <v>46216</v>
      </c>
      <c r="F70" s="5">
        <v>3</v>
      </c>
      <c r="G70" s="5" t="s">
        <v>25</v>
      </c>
      <c r="H70" s="5" t="s">
        <v>420</v>
      </c>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c r="AS70" s="5"/>
      <c r="AT70" s="5"/>
      <c r="AU70" s="5"/>
      <c r="AV70" s="5"/>
      <c r="AW70" s="5"/>
      <c r="AX70" s="5"/>
    </row>
    <row r="71" spans="1:50" ht="16" x14ac:dyDescent="0.2">
      <c r="A71" s="5" t="s">
        <v>421</v>
      </c>
      <c r="B71" s="5" t="s">
        <v>422</v>
      </c>
      <c r="C71" s="5" t="s">
        <v>34</v>
      </c>
      <c r="D71" s="7">
        <v>46215</v>
      </c>
      <c r="E71" s="7">
        <v>46216</v>
      </c>
      <c r="F71" s="5">
        <v>2</v>
      </c>
      <c r="G71" s="5" t="s">
        <v>25</v>
      </c>
      <c r="H71" s="5" t="s">
        <v>425</v>
      </c>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c r="AV71" s="5"/>
      <c r="AW71" s="5"/>
      <c r="AX71" s="5"/>
    </row>
  </sheetData>
  <autoFilter ref="A1:AX71" xr:uid="{00000000-0009-0000-0000-000004000000}"/>
  <conditionalFormatting sqref="G2:G71">
    <cfRule type="expression" dxfId="19" priority="1">
      <formula>$G2="Done"</formula>
    </cfRule>
    <cfRule type="expression" dxfId="18" priority="2">
      <formula>$G2="In Progress"</formula>
    </cfRule>
    <cfRule type="expression" dxfId="17" priority="3">
      <formula>$G2="Blocked"</formula>
    </cfRule>
    <cfRule type="expression" dxfId="16" priority="4">
      <formula>$G2="Review"</formula>
    </cfRule>
    <cfRule type="expression" dxfId="15" priority="5">
      <formula>$G2="Todo"</formula>
    </cfRule>
  </conditionalFormatting>
  <dataValidations count="1">
    <dataValidation type="list" allowBlank="1" sqref="G2:G71" xr:uid="{00000000-0002-0000-0400-000000000000}">
      <formula1>"Todo,In Progress,Blocked,Review,Done"</formula1>
    </dataValidation>
  </dataValidations>
  <pageMargins left="0.75" right="0.75" top="1" bottom="1" header="0.5" footer="0.5"/>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F71"/>
  <sheetViews>
    <sheetView showGridLines="0" workbookViewId="0">
      <pane ySplit="1" topLeftCell="A2" activePane="bottomLeft" state="frozen"/>
      <selection pane="bottomLeft" activeCell="K15" sqref="K15"/>
    </sheetView>
  </sheetViews>
  <sheetFormatPr baseColWidth="10" defaultColWidth="8.83203125" defaultRowHeight="15" x14ac:dyDescent="0.2"/>
  <cols>
    <col min="1" max="1" width="12" customWidth="1"/>
    <col min="2" max="2" width="35" customWidth="1"/>
    <col min="3" max="3" width="28" customWidth="1"/>
    <col min="4" max="4" width="45" customWidth="1"/>
    <col min="5" max="5" width="16" customWidth="1"/>
    <col min="6" max="6" width="24" customWidth="1"/>
  </cols>
  <sheetData>
    <row r="1" spans="1:6" ht="16" x14ac:dyDescent="0.2">
      <c r="A1" s="4" t="s">
        <v>35</v>
      </c>
      <c r="B1" s="4" t="s">
        <v>473</v>
      </c>
      <c r="C1" s="4" t="s">
        <v>474</v>
      </c>
      <c r="D1" s="4" t="s">
        <v>475</v>
      </c>
      <c r="E1" s="4" t="s">
        <v>476</v>
      </c>
      <c r="F1" s="4" t="s">
        <v>477</v>
      </c>
    </row>
    <row r="2" spans="1:6" ht="16" x14ac:dyDescent="0.2">
      <c r="A2" s="5" t="s">
        <v>49</v>
      </c>
      <c r="B2" s="5" t="s">
        <v>51</v>
      </c>
      <c r="C2" s="5"/>
      <c r="D2" s="5" t="s">
        <v>478</v>
      </c>
      <c r="E2" s="5" t="s">
        <v>417</v>
      </c>
      <c r="F2" s="5" t="s">
        <v>13</v>
      </c>
    </row>
    <row r="3" spans="1:6" ht="16" x14ac:dyDescent="0.2">
      <c r="A3" s="5" t="s">
        <v>57</v>
      </c>
      <c r="B3" s="5" t="s">
        <v>58</v>
      </c>
      <c r="C3" s="5" t="s">
        <v>49</v>
      </c>
      <c r="D3" s="5" t="s">
        <v>479</v>
      </c>
      <c r="E3" s="5" t="s">
        <v>168</v>
      </c>
      <c r="F3" s="5" t="s">
        <v>13</v>
      </c>
    </row>
    <row r="4" spans="1:6" ht="16" x14ac:dyDescent="0.2">
      <c r="A4" s="5" t="s">
        <v>60</v>
      </c>
      <c r="B4" s="5" t="s">
        <v>61</v>
      </c>
      <c r="C4" s="5" t="s">
        <v>49</v>
      </c>
      <c r="D4" s="5" t="s">
        <v>479</v>
      </c>
      <c r="E4" s="5" t="s">
        <v>168</v>
      </c>
      <c r="F4" s="5" t="s">
        <v>13</v>
      </c>
    </row>
    <row r="5" spans="1:6" ht="16" x14ac:dyDescent="0.2">
      <c r="A5" s="5" t="s">
        <v>65</v>
      </c>
      <c r="B5" s="5" t="s">
        <v>66</v>
      </c>
      <c r="C5" s="5" t="s">
        <v>70</v>
      </c>
      <c r="D5" s="5" t="s">
        <v>479</v>
      </c>
      <c r="E5" s="5" t="s">
        <v>168</v>
      </c>
      <c r="F5" s="5" t="str">
        <f>IF(COUNTA(C2)=0,"Ready","Check dependency status")</f>
        <v>Ready</v>
      </c>
    </row>
    <row r="6" spans="1:6" ht="16" x14ac:dyDescent="0.2">
      <c r="A6" s="5" t="s">
        <v>71</v>
      </c>
      <c r="B6" s="5" t="s">
        <v>72</v>
      </c>
      <c r="C6" s="5" t="s">
        <v>70</v>
      </c>
      <c r="D6" s="5" t="s">
        <v>479</v>
      </c>
      <c r="E6" s="5" t="s">
        <v>168</v>
      </c>
      <c r="F6" s="5" t="str">
        <f>IF(COUNTA(C2)=0,"Ready","Check dependency status")</f>
        <v>Ready</v>
      </c>
    </row>
    <row r="7" spans="1:6" ht="16" x14ac:dyDescent="0.2">
      <c r="A7" s="5" t="s">
        <v>75</v>
      </c>
      <c r="B7" s="5" t="s">
        <v>77</v>
      </c>
      <c r="C7" s="5" t="s">
        <v>65</v>
      </c>
      <c r="D7" s="5" t="s">
        <v>479</v>
      </c>
      <c r="E7" s="5" t="s">
        <v>168</v>
      </c>
      <c r="F7" s="5" t="str">
        <f>IF(COUNTA(C2)=0,"Ready","Check dependency status")</f>
        <v>Ready</v>
      </c>
    </row>
    <row r="8" spans="1:6" ht="16" x14ac:dyDescent="0.2">
      <c r="A8" s="5" t="s">
        <v>82</v>
      </c>
      <c r="B8" s="5" t="s">
        <v>83</v>
      </c>
      <c r="C8" s="5" t="s">
        <v>75</v>
      </c>
      <c r="D8" s="5" t="s">
        <v>479</v>
      </c>
      <c r="E8" s="5" t="s">
        <v>168</v>
      </c>
      <c r="F8" s="5" t="str">
        <f>IF(COUNTA(C2)=0,"Ready","Check dependency status")</f>
        <v>Ready</v>
      </c>
    </row>
    <row r="9" spans="1:6" ht="16" x14ac:dyDescent="0.2">
      <c r="A9" s="5" t="s">
        <v>87</v>
      </c>
      <c r="B9" s="5" t="s">
        <v>89</v>
      </c>
      <c r="C9" s="5" t="s">
        <v>60</v>
      </c>
      <c r="D9" s="5" t="s">
        <v>479</v>
      </c>
      <c r="E9" s="5" t="s">
        <v>168</v>
      </c>
      <c r="F9" s="5" t="str">
        <f>IF(COUNTA(C2)=0,"Ready","Check dependency status")</f>
        <v>Ready</v>
      </c>
    </row>
    <row r="10" spans="1:6" ht="16" x14ac:dyDescent="0.2">
      <c r="A10" s="5" t="s">
        <v>92</v>
      </c>
      <c r="B10" s="5" t="s">
        <v>93</v>
      </c>
      <c r="C10" s="5" t="s">
        <v>57</v>
      </c>
      <c r="D10" s="5" t="s">
        <v>479</v>
      </c>
      <c r="E10" s="5" t="s">
        <v>168</v>
      </c>
      <c r="F10" s="5" t="str">
        <f>IF(COUNTA(C2)=0,"Ready","Check dependency status")</f>
        <v>Ready</v>
      </c>
    </row>
    <row r="11" spans="1:6" ht="16" x14ac:dyDescent="0.2">
      <c r="A11" s="5" t="s">
        <v>96</v>
      </c>
      <c r="B11" s="5" t="s">
        <v>98</v>
      </c>
      <c r="C11" s="5" t="s">
        <v>82</v>
      </c>
      <c r="D11" s="5" t="s">
        <v>479</v>
      </c>
      <c r="E11" s="5" t="s">
        <v>168</v>
      </c>
      <c r="F11" s="5" t="str">
        <f>IF(COUNTA(C2)=0,"Ready","Check dependency status")</f>
        <v>Ready</v>
      </c>
    </row>
    <row r="12" spans="1:6" ht="16" x14ac:dyDescent="0.2">
      <c r="A12" s="5" t="s">
        <v>102</v>
      </c>
      <c r="B12" s="5" t="s">
        <v>103</v>
      </c>
      <c r="C12" s="5" t="s">
        <v>96</v>
      </c>
      <c r="D12" s="5" t="s">
        <v>479</v>
      </c>
      <c r="E12" s="5" t="s">
        <v>168</v>
      </c>
      <c r="F12" s="5" t="str">
        <f>IF(COUNTA(C2)=0,"Ready","Check dependency status")</f>
        <v>Ready</v>
      </c>
    </row>
    <row r="13" spans="1:6" ht="16" x14ac:dyDescent="0.2">
      <c r="A13" s="5" t="s">
        <v>107</v>
      </c>
      <c r="B13" s="5" t="s">
        <v>108</v>
      </c>
      <c r="C13" s="5" t="s">
        <v>96</v>
      </c>
      <c r="D13" s="5" t="s">
        <v>479</v>
      </c>
      <c r="E13" s="5" t="s">
        <v>168</v>
      </c>
      <c r="F13" s="5" t="str">
        <f>IF(COUNTA(C2)=0,"Ready","Check dependency status")</f>
        <v>Ready</v>
      </c>
    </row>
    <row r="14" spans="1:6" ht="16" x14ac:dyDescent="0.2">
      <c r="A14" s="5" t="s">
        <v>112</v>
      </c>
      <c r="B14" s="5" t="s">
        <v>113</v>
      </c>
      <c r="C14" s="5" t="s">
        <v>102</v>
      </c>
      <c r="D14" s="5" t="s">
        <v>479</v>
      </c>
      <c r="E14" s="5" t="s">
        <v>168</v>
      </c>
      <c r="F14" s="5" t="str">
        <f>IF(COUNTA(C2)=0,"Ready","Check dependency status")</f>
        <v>Ready</v>
      </c>
    </row>
    <row r="15" spans="1:6" ht="32" x14ac:dyDescent="0.2">
      <c r="A15" s="5" t="s">
        <v>117</v>
      </c>
      <c r="B15" s="5" t="s">
        <v>119</v>
      </c>
      <c r="C15" s="5" t="s">
        <v>123</v>
      </c>
      <c r="D15" s="5" t="s">
        <v>479</v>
      </c>
      <c r="E15" s="5" t="s">
        <v>168</v>
      </c>
      <c r="F15" s="5" t="str">
        <f>IF(COUNTA(C2)=0,"Ready","Check dependency status")</f>
        <v>Ready</v>
      </c>
    </row>
    <row r="16" spans="1:6" ht="16" x14ac:dyDescent="0.2">
      <c r="A16" s="5" t="s">
        <v>125</v>
      </c>
      <c r="B16" s="5" t="s">
        <v>126</v>
      </c>
      <c r="C16" s="5" t="s">
        <v>129</v>
      </c>
      <c r="D16" s="5" t="s">
        <v>479</v>
      </c>
      <c r="E16" s="5" t="s">
        <v>168</v>
      </c>
      <c r="F16" s="5" t="str">
        <f>IF(COUNTA(C2)=0,"Ready","Check dependency status")</f>
        <v>Ready</v>
      </c>
    </row>
    <row r="17" spans="1:6" ht="16" x14ac:dyDescent="0.2">
      <c r="A17" s="5" t="s">
        <v>130</v>
      </c>
      <c r="B17" s="5" t="s">
        <v>131</v>
      </c>
      <c r="C17" s="5" t="s">
        <v>134</v>
      </c>
      <c r="D17" s="5" t="s">
        <v>479</v>
      </c>
      <c r="E17" s="5" t="s">
        <v>168</v>
      </c>
      <c r="F17" s="5" t="str">
        <f>IF(COUNTA(C2)=0,"Ready","Check dependency status")</f>
        <v>Ready</v>
      </c>
    </row>
    <row r="18" spans="1:6" ht="16" x14ac:dyDescent="0.2">
      <c r="A18" s="5" t="s">
        <v>135</v>
      </c>
      <c r="B18" s="5" t="s">
        <v>137</v>
      </c>
      <c r="C18" s="5" t="s">
        <v>140</v>
      </c>
      <c r="D18" s="5" t="s">
        <v>479</v>
      </c>
      <c r="E18" s="5" t="s">
        <v>168</v>
      </c>
      <c r="F18" s="5" t="str">
        <f>IF(COUNTA(C2)=0,"Ready","Check dependency status")</f>
        <v>Ready</v>
      </c>
    </row>
    <row r="19" spans="1:6" ht="16" x14ac:dyDescent="0.2">
      <c r="A19" s="5" t="s">
        <v>141</v>
      </c>
      <c r="B19" s="5" t="s">
        <v>143</v>
      </c>
      <c r="C19" s="5" t="s">
        <v>130</v>
      </c>
      <c r="D19" s="5" t="s">
        <v>479</v>
      </c>
      <c r="E19" s="5" t="s">
        <v>168</v>
      </c>
      <c r="F19" s="5" t="str">
        <f>IF(COUNTA(C2)=0,"Ready","Check dependency status")</f>
        <v>Ready</v>
      </c>
    </row>
    <row r="20" spans="1:6" ht="16" x14ac:dyDescent="0.2">
      <c r="A20" s="5" t="s">
        <v>146</v>
      </c>
      <c r="B20" s="5" t="s">
        <v>148</v>
      </c>
      <c r="C20" s="5" t="s">
        <v>117</v>
      </c>
      <c r="D20" s="5" t="s">
        <v>479</v>
      </c>
      <c r="E20" s="5" t="s">
        <v>168</v>
      </c>
      <c r="F20" s="5" t="str">
        <f>IF(COUNTA(C2)=0,"Ready","Check dependency status")</f>
        <v>Ready</v>
      </c>
    </row>
    <row r="21" spans="1:6" ht="16" x14ac:dyDescent="0.2">
      <c r="A21" s="5" t="s">
        <v>152</v>
      </c>
      <c r="B21" s="5" t="s">
        <v>153</v>
      </c>
      <c r="C21" s="5" t="s">
        <v>156</v>
      </c>
      <c r="D21" s="5" t="s">
        <v>479</v>
      </c>
      <c r="E21" s="5" t="s">
        <v>168</v>
      </c>
      <c r="F21" s="5" t="str">
        <f>IF(COUNTA(C2)=0,"Ready","Check dependency status")</f>
        <v>Ready</v>
      </c>
    </row>
    <row r="22" spans="1:6" ht="16" x14ac:dyDescent="0.2">
      <c r="A22" s="5" t="s">
        <v>157</v>
      </c>
      <c r="B22" s="5" t="s">
        <v>158</v>
      </c>
      <c r="C22" s="5" t="s">
        <v>152</v>
      </c>
      <c r="D22" s="5" t="s">
        <v>479</v>
      </c>
      <c r="E22" s="5" t="s">
        <v>168</v>
      </c>
      <c r="F22" s="5" t="str">
        <f>IF(COUNTA(C2)=0,"Ready","Check dependency status")</f>
        <v>Ready</v>
      </c>
    </row>
    <row r="23" spans="1:6" ht="16" x14ac:dyDescent="0.2">
      <c r="A23" s="5" t="s">
        <v>161</v>
      </c>
      <c r="B23" s="5" t="s">
        <v>163</v>
      </c>
      <c r="C23" s="5" t="s">
        <v>141</v>
      </c>
      <c r="D23" s="5" t="s">
        <v>479</v>
      </c>
      <c r="E23" s="5" t="s">
        <v>168</v>
      </c>
      <c r="F23" s="5" t="str">
        <f>IF(COUNTA(C2)=0,"Ready","Check dependency status")</f>
        <v>Ready</v>
      </c>
    </row>
    <row r="24" spans="1:6" ht="16" x14ac:dyDescent="0.2">
      <c r="A24" s="5" t="s">
        <v>166</v>
      </c>
      <c r="B24" s="5" t="s">
        <v>167</v>
      </c>
      <c r="C24" s="5" t="s">
        <v>171</v>
      </c>
      <c r="D24" s="5" t="s">
        <v>479</v>
      </c>
      <c r="E24" s="5" t="s">
        <v>168</v>
      </c>
      <c r="F24" s="5" t="str">
        <f>IF(COUNTA(C2)=0,"Ready","Check dependency status")</f>
        <v>Ready</v>
      </c>
    </row>
    <row r="25" spans="1:6" ht="16" x14ac:dyDescent="0.2">
      <c r="A25" s="5" t="s">
        <v>172</v>
      </c>
      <c r="B25" s="5" t="s">
        <v>174</v>
      </c>
      <c r="C25" s="5" t="s">
        <v>135</v>
      </c>
      <c r="D25" s="5" t="s">
        <v>479</v>
      </c>
      <c r="E25" s="5" t="s">
        <v>168</v>
      </c>
      <c r="F25" s="5" t="str">
        <f>IF(COUNTA(C2)=0,"Ready","Check dependency status")</f>
        <v>Ready</v>
      </c>
    </row>
    <row r="26" spans="1:6" ht="16" x14ac:dyDescent="0.2">
      <c r="A26" s="5" t="s">
        <v>177</v>
      </c>
      <c r="B26" s="5" t="s">
        <v>179</v>
      </c>
      <c r="C26" s="5" t="s">
        <v>183</v>
      </c>
      <c r="D26" s="5" t="s">
        <v>479</v>
      </c>
      <c r="E26" s="5" t="s">
        <v>168</v>
      </c>
      <c r="F26" s="5" t="str">
        <f>IF(COUNTA(C2)=0,"Ready","Check dependency status")</f>
        <v>Ready</v>
      </c>
    </row>
    <row r="27" spans="1:6" ht="16" x14ac:dyDescent="0.2">
      <c r="A27" s="5" t="s">
        <v>184</v>
      </c>
      <c r="B27" s="5" t="s">
        <v>186</v>
      </c>
      <c r="C27" s="5" t="s">
        <v>117</v>
      </c>
      <c r="D27" s="5" t="s">
        <v>479</v>
      </c>
      <c r="E27" s="5" t="s">
        <v>168</v>
      </c>
      <c r="F27" s="5" t="str">
        <f>IF(COUNTA(C2)=0,"Ready","Check dependency status")</f>
        <v>Ready</v>
      </c>
    </row>
    <row r="28" spans="1:6" ht="16" x14ac:dyDescent="0.2">
      <c r="A28" s="5" t="s">
        <v>190</v>
      </c>
      <c r="B28" s="5" t="s">
        <v>191</v>
      </c>
      <c r="C28" s="5" t="s">
        <v>184</v>
      </c>
      <c r="D28" s="5" t="s">
        <v>479</v>
      </c>
      <c r="E28" s="5" t="s">
        <v>168</v>
      </c>
      <c r="F28" s="5" t="str">
        <f>IF(COUNTA(C2)=0,"Ready","Check dependency status")</f>
        <v>Ready</v>
      </c>
    </row>
    <row r="29" spans="1:6" ht="16" x14ac:dyDescent="0.2">
      <c r="A29" s="5" t="s">
        <v>195</v>
      </c>
      <c r="B29" s="5" t="s">
        <v>197</v>
      </c>
      <c r="C29" s="5" t="s">
        <v>184</v>
      </c>
      <c r="D29" s="5" t="s">
        <v>479</v>
      </c>
      <c r="E29" s="5" t="s">
        <v>168</v>
      </c>
      <c r="F29" s="5" t="str">
        <f>IF(COUNTA(C2)=0,"Ready","Check dependency status")</f>
        <v>Ready</v>
      </c>
    </row>
    <row r="30" spans="1:6" ht="16" x14ac:dyDescent="0.2">
      <c r="A30" s="5" t="s">
        <v>200</v>
      </c>
      <c r="B30" s="5" t="s">
        <v>201</v>
      </c>
      <c r="C30" s="5" t="s">
        <v>204</v>
      </c>
      <c r="D30" s="5" t="s">
        <v>479</v>
      </c>
      <c r="E30" s="5" t="s">
        <v>168</v>
      </c>
      <c r="F30" s="5" t="str">
        <f>IF(COUNTA(C2)=0,"Ready","Check dependency status")</f>
        <v>Ready</v>
      </c>
    </row>
    <row r="31" spans="1:6" ht="16" x14ac:dyDescent="0.2">
      <c r="A31" s="5" t="s">
        <v>205</v>
      </c>
      <c r="B31" s="5" t="s">
        <v>206</v>
      </c>
      <c r="C31" s="5" t="s">
        <v>200</v>
      </c>
      <c r="D31" s="5" t="s">
        <v>479</v>
      </c>
      <c r="E31" s="5" t="s">
        <v>168</v>
      </c>
      <c r="F31" s="5" t="str">
        <f>IF(COUNTA(C2)=0,"Ready","Check dependency status")</f>
        <v>Ready</v>
      </c>
    </row>
    <row r="32" spans="1:6" ht="16" x14ac:dyDescent="0.2">
      <c r="A32" s="5" t="s">
        <v>209</v>
      </c>
      <c r="B32" s="5" t="s">
        <v>210</v>
      </c>
      <c r="C32" s="5" t="s">
        <v>205</v>
      </c>
      <c r="D32" s="5" t="s">
        <v>479</v>
      </c>
      <c r="E32" s="5" t="s">
        <v>168</v>
      </c>
      <c r="F32" s="5" t="str">
        <f>IF(COUNTA(C2)=0,"Ready","Check dependency status")</f>
        <v>Ready</v>
      </c>
    </row>
    <row r="33" spans="1:6" ht="16" x14ac:dyDescent="0.2">
      <c r="A33" s="5" t="s">
        <v>213</v>
      </c>
      <c r="B33" s="5" t="s">
        <v>214</v>
      </c>
      <c r="C33" s="5" t="s">
        <v>217</v>
      </c>
      <c r="D33" s="5" t="s">
        <v>479</v>
      </c>
      <c r="E33" s="5" t="s">
        <v>168</v>
      </c>
      <c r="F33" s="5" t="str">
        <f>IF(COUNTA(C2)=0,"Ready","Check dependency status")</f>
        <v>Ready</v>
      </c>
    </row>
    <row r="34" spans="1:6" ht="16" x14ac:dyDescent="0.2">
      <c r="A34" s="5" t="s">
        <v>218</v>
      </c>
      <c r="B34" s="5" t="s">
        <v>220</v>
      </c>
      <c r="C34" s="5" t="s">
        <v>223</v>
      </c>
      <c r="D34" s="5" t="s">
        <v>479</v>
      </c>
      <c r="E34" s="5" t="s">
        <v>168</v>
      </c>
      <c r="F34" s="5" t="str">
        <f>IF(COUNTA(C2)=0,"Ready","Check dependency status")</f>
        <v>Ready</v>
      </c>
    </row>
    <row r="35" spans="1:6" ht="16" x14ac:dyDescent="0.2">
      <c r="A35" s="5" t="s">
        <v>224</v>
      </c>
      <c r="B35" s="5" t="s">
        <v>225</v>
      </c>
      <c r="C35" s="5" t="s">
        <v>228</v>
      </c>
      <c r="D35" s="5" t="s">
        <v>479</v>
      </c>
      <c r="E35" s="5" t="s">
        <v>168</v>
      </c>
      <c r="F35" s="5" t="str">
        <f>IF(COUNTA(C2)=0,"Ready","Check dependency status")</f>
        <v>Ready</v>
      </c>
    </row>
    <row r="36" spans="1:6" ht="16" x14ac:dyDescent="0.2">
      <c r="A36" s="5" t="s">
        <v>229</v>
      </c>
      <c r="B36" s="5" t="s">
        <v>230</v>
      </c>
      <c r="C36" s="5" t="s">
        <v>233</v>
      </c>
      <c r="D36" s="5" t="s">
        <v>479</v>
      </c>
      <c r="E36" s="5" t="s">
        <v>168</v>
      </c>
      <c r="F36" s="5" t="str">
        <f>IF(COUNTA(C2)=0,"Ready","Check dependency status")</f>
        <v>Ready</v>
      </c>
    </row>
    <row r="37" spans="1:6" ht="16" x14ac:dyDescent="0.2">
      <c r="A37" s="5" t="s">
        <v>234</v>
      </c>
      <c r="B37" s="5" t="s">
        <v>236</v>
      </c>
      <c r="C37" s="5" t="s">
        <v>117</v>
      </c>
      <c r="D37" s="5" t="s">
        <v>479</v>
      </c>
      <c r="E37" s="5" t="s">
        <v>168</v>
      </c>
      <c r="F37" s="5" t="str">
        <f>IF(COUNTA(C2)=0,"Ready","Check dependency status")</f>
        <v>Ready</v>
      </c>
    </row>
    <row r="38" spans="1:6" ht="16" x14ac:dyDescent="0.2">
      <c r="A38" s="5" t="s">
        <v>240</v>
      </c>
      <c r="B38" s="5" t="s">
        <v>242</v>
      </c>
      <c r="C38" s="5" t="s">
        <v>245</v>
      </c>
      <c r="D38" s="5" t="s">
        <v>479</v>
      </c>
      <c r="E38" s="5" t="s">
        <v>168</v>
      </c>
      <c r="F38" s="5" t="str">
        <f>IF(COUNTA(C2)=0,"Ready","Check dependency status")</f>
        <v>Ready</v>
      </c>
    </row>
    <row r="39" spans="1:6" ht="16" x14ac:dyDescent="0.2">
      <c r="A39" s="5" t="s">
        <v>246</v>
      </c>
      <c r="B39" s="5" t="s">
        <v>247</v>
      </c>
      <c r="C39" s="5" t="s">
        <v>240</v>
      </c>
      <c r="D39" s="5" t="s">
        <v>479</v>
      </c>
      <c r="E39" s="5" t="s">
        <v>168</v>
      </c>
      <c r="F39" s="5" t="str">
        <f>IF(COUNTA(C2)=0,"Ready","Check dependency status")</f>
        <v>Ready</v>
      </c>
    </row>
    <row r="40" spans="1:6" ht="16" x14ac:dyDescent="0.2">
      <c r="A40" s="5" t="s">
        <v>250</v>
      </c>
      <c r="B40" s="5" t="s">
        <v>252</v>
      </c>
      <c r="C40" s="5" t="s">
        <v>240</v>
      </c>
      <c r="D40" s="5" t="s">
        <v>479</v>
      </c>
      <c r="E40" s="5" t="s">
        <v>168</v>
      </c>
      <c r="F40" s="5" t="str">
        <f>IF(COUNTA(C2)=0,"Ready","Check dependency status")</f>
        <v>Ready</v>
      </c>
    </row>
    <row r="41" spans="1:6" ht="16" x14ac:dyDescent="0.2">
      <c r="A41" s="5" t="s">
        <v>255</v>
      </c>
      <c r="B41" s="5" t="s">
        <v>257</v>
      </c>
      <c r="C41" s="5" t="s">
        <v>260</v>
      </c>
      <c r="D41" s="5" t="s">
        <v>479</v>
      </c>
      <c r="E41" s="5" t="s">
        <v>168</v>
      </c>
      <c r="F41" s="5" t="str">
        <f>IF(COUNTA(C2)=0,"Ready","Check dependency status")</f>
        <v>Ready</v>
      </c>
    </row>
    <row r="42" spans="1:6" ht="16" x14ac:dyDescent="0.2">
      <c r="A42" s="5" t="s">
        <v>262</v>
      </c>
      <c r="B42" s="5" t="s">
        <v>263</v>
      </c>
      <c r="C42" s="5" t="s">
        <v>255</v>
      </c>
      <c r="D42" s="5" t="s">
        <v>479</v>
      </c>
      <c r="E42" s="5" t="s">
        <v>168</v>
      </c>
      <c r="F42" s="5" t="str">
        <f>IF(COUNTA(C2)=0,"Ready","Check dependency status")</f>
        <v>Ready</v>
      </c>
    </row>
    <row r="43" spans="1:6" ht="16" x14ac:dyDescent="0.2">
      <c r="A43" s="5" t="s">
        <v>266</v>
      </c>
      <c r="B43" s="5" t="s">
        <v>267</v>
      </c>
      <c r="C43" s="5" t="s">
        <v>270</v>
      </c>
      <c r="D43" s="5" t="s">
        <v>479</v>
      </c>
      <c r="E43" s="5" t="s">
        <v>168</v>
      </c>
      <c r="F43" s="5" t="str">
        <f>IF(COUNTA(C2)=0,"Ready","Check dependency status")</f>
        <v>Ready</v>
      </c>
    </row>
    <row r="44" spans="1:6" ht="16" x14ac:dyDescent="0.2">
      <c r="A44" s="5" t="s">
        <v>271</v>
      </c>
      <c r="B44" s="5" t="s">
        <v>272</v>
      </c>
      <c r="C44" s="5" t="s">
        <v>275</v>
      </c>
      <c r="D44" s="5" t="s">
        <v>479</v>
      </c>
      <c r="E44" s="5" t="s">
        <v>168</v>
      </c>
      <c r="F44" s="5" t="str">
        <f>IF(COUNTA(C2)=0,"Ready","Check dependency status")</f>
        <v>Ready</v>
      </c>
    </row>
    <row r="45" spans="1:6" ht="16" x14ac:dyDescent="0.2">
      <c r="A45" s="5" t="s">
        <v>276</v>
      </c>
      <c r="B45" s="5" t="s">
        <v>278</v>
      </c>
      <c r="C45" s="5" t="s">
        <v>117</v>
      </c>
      <c r="D45" s="5" t="s">
        <v>479</v>
      </c>
      <c r="E45" s="5" t="s">
        <v>168</v>
      </c>
      <c r="F45" s="5" t="str">
        <f>IF(COUNTA(C2)=0,"Ready","Check dependency status")</f>
        <v>Ready</v>
      </c>
    </row>
    <row r="46" spans="1:6" ht="16" x14ac:dyDescent="0.2">
      <c r="A46" s="5" t="s">
        <v>282</v>
      </c>
      <c r="B46" s="5" t="s">
        <v>283</v>
      </c>
      <c r="C46" s="5" t="s">
        <v>286</v>
      </c>
      <c r="D46" s="5" t="s">
        <v>479</v>
      </c>
      <c r="E46" s="5" t="s">
        <v>168</v>
      </c>
      <c r="F46" s="5" t="str">
        <f>IF(COUNTA(C2)=0,"Ready","Check dependency status")</f>
        <v>Ready</v>
      </c>
    </row>
    <row r="47" spans="1:6" ht="16" x14ac:dyDescent="0.2">
      <c r="A47" s="5" t="s">
        <v>287</v>
      </c>
      <c r="B47" s="5" t="s">
        <v>288</v>
      </c>
      <c r="C47" s="5" t="s">
        <v>282</v>
      </c>
      <c r="D47" s="5" t="s">
        <v>479</v>
      </c>
      <c r="E47" s="5" t="s">
        <v>168</v>
      </c>
      <c r="F47" s="5" t="str">
        <f>IF(COUNTA(C2)=0,"Ready","Check dependency status")</f>
        <v>Ready</v>
      </c>
    </row>
    <row r="48" spans="1:6" ht="16" x14ac:dyDescent="0.2">
      <c r="A48" s="5" t="s">
        <v>291</v>
      </c>
      <c r="B48" s="5" t="s">
        <v>292</v>
      </c>
      <c r="C48" s="5" t="s">
        <v>295</v>
      </c>
      <c r="D48" s="5" t="s">
        <v>479</v>
      </c>
      <c r="E48" s="5" t="s">
        <v>168</v>
      </c>
      <c r="F48" s="5" t="str">
        <f>IF(COUNTA(C2)=0,"Ready","Check dependency status")</f>
        <v>Ready</v>
      </c>
    </row>
    <row r="49" spans="1:6" ht="16" x14ac:dyDescent="0.2">
      <c r="A49" s="5" t="s">
        <v>296</v>
      </c>
      <c r="B49" s="5" t="s">
        <v>298</v>
      </c>
      <c r="C49" s="5" t="s">
        <v>301</v>
      </c>
      <c r="D49" s="5" t="s">
        <v>479</v>
      </c>
      <c r="E49" s="5" t="s">
        <v>168</v>
      </c>
      <c r="F49" s="5" t="str">
        <f>IF(COUNTA(C2)=0,"Ready","Check dependency status")</f>
        <v>Ready</v>
      </c>
    </row>
    <row r="50" spans="1:6" ht="16" x14ac:dyDescent="0.2">
      <c r="A50" s="5" t="s">
        <v>302</v>
      </c>
      <c r="B50" s="5" t="s">
        <v>303</v>
      </c>
      <c r="C50" s="5" t="s">
        <v>271</v>
      </c>
      <c r="D50" s="5" t="s">
        <v>479</v>
      </c>
      <c r="E50" s="5" t="s">
        <v>168</v>
      </c>
      <c r="F50" s="5" t="str">
        <f>IF(COUNTA(C2)=0,"Ready","Check dependency status")</f>
        <v>Ready</v>
      </c>
    </row>
    <row r="51" spans="1:6" ht="16" x14ac:dyDescent="0.2">
      <c r="A51" s="5" t="s">
        <v>306</v>
      </c>
      <c r="B51" s="5" t="s">
        <v>308</v>
      </c>
      <c r="C51" s="5" t="s">
        <v>205</v>
      </c>
      <c r="D51" s="5" t="s">
        <v>479</v>
      </c>
      <c r="E51" s="5" t="s">
        <v>168</v>
      </c>
      <c r="F51" s="5" t="str">
        <f>IF(COUNTA(C2)=0,"Ready","Check dependency status")</f>
        <v>Ready</v>
      </c>
    </row>
    <row r="52" spans="1:6" ht="16" x14ac:dyDescent="0.2">
      <c r="A52" s="5" t="s">
        <v>311</v>
      </c>
      <c r="B52" s="5" t="s">
        <v>312</v>
      </c>
      <c r="C52" s="5" t="s">
        <v>315</v>
      </c>
      <c r="D52" s="5" t="s">
        <v>479</v>
      </c>
      <c r="E52" s="5" t="s">
        <v>168</v>
      </c>
      <c r="F52" s="5" t="str">
        <f>IF(COUNTA(C2)=0,"Ready","Check dependency status")</f>
        <v>Ready</v>
      </c>
    </row>
    <row r="53" spans="1:6" ht="16" x14ac:dyDescent="0.2">
      <c r="A53" s="5" t="s">
        <v>316</v>
      </c>
      <c r="B53" s="5" t="s">
        <v>318</v>
      </c>
      <c r="C53" s="5" t="s">
        <v>321</v>
      </c>
      <c r="D53" s="5" t="s">
        <v>479</v>
      </c>
      <c r="E53" s="5" t="s">
        <v>168</v>
      </c>
      <c r="F53" s="5" t="str">
        <f>IF(COUNTA(C2)=0,"Ready","Check dependency status")</f>
        <v>Ready</v>
      </c>
    </row>
    <row r="54" spans="1:6" ht="16" x14ac:dyDescent="0.2">
      <c r="A54" s="5" t="s">
        <v>323</v>
      </c>
      <c r="B54" s="5" t="s">
        <v>324</v>
      </c>
      <c r="C54" s="5" t="s">
        <v>316</v>
      </c>
      <c r="D54" s="5" t="s">
        <v>479</v>
      </c>
      <c r="E54" s="5" t="s">
        <v>168</v>
      </c>
      <c r="F54" s="5" t="str">
        <f>IF(COUNTA(C2)=0,"Ready","Check dependency status")</f>
        <v>Ready</v>
      </c>
    </row>
    <row r="55" spans="1:6" ht="32" x14ac:dyDescent="0.2">
      <c r="A55" s="5" t="s">
        <v>328</v>
      </c>
      <c r="B55" s="5" t="s">
        <v>329</v>
      </c>
      <c r="C55" s="5" t="s">
        <v>332</v>
      </c>
      <c r="D55" s="5" t="s">
        <v>479</v>
      </c>
      <c r="E55" s="5" t="s">
        <v>168</v>
      </c>
      <c r="F55" s="5" t="str">
        <f>IF(COUNTA(C2)=0,"Ready","Check dependency status")</f>
        <v>Ready</v>
      </c>
    </row>
    <row r="56" spans="1:6" ht="16" x14ac:dyDescent="0.2">
      <c r="A56" s="5" t="s">
        <v>334</v>
      </c>
      <c r="B56" s="5" t="s">
        <v>336</v>
      </c>
      <c r="C56" s="5" t="s">
        <v>340</v>
      </c>
      <c r="D56" s="5" t="s">
        <v>479</v>
      </c>
      <c r="E56" s="5" t="s">
        <v>168</v>
      </c>
      <c r="F56" s="5" t="str">
        <f>IF(COUNTA(C2)=0,"Ready","Check dependency status")</f>
        <v>Ready</v>
      </c>
    </row>
    <row r="57" spans="1:6" ht="16" x14ac:dyDescent="0.2">
      <c r="A57" s="5" t="s">
        <v>341</v>
      </c>
      <c r="B57" s="5" t="s">
        <v>342</v>
      </c>
      <c r="C57" s="5" t="s">
        <v>345</v>
      </c>
      <c r="D57" s="5" t="s">
        <v>479</v>
      </c>
      <c r="E57" s="5" t="s">
        <v>168</v>
      </c>
      <c r="F57" s="5" t="str">
        <f>IF(COUNTA(C2)=0,"Ready","Check dependency status")</f>
        <v>Ready</v>
      </c>
    </row>
    <row r="58" spans="1:6" ht="16" x14ac:dyDescent="0.2">
      <c r="A58" s="5" t="s">
        <v>346</v>
      </c>
      <c r="B58" s="5" t="s">
        <v>347</v>
      </c>
      <c r="C58" s="5" t="s">
        <v>350</v>
      </c>
      <c r="D58" s="5" t="s">
        <v>479</v>
      </c>
      <c r="E58" s="5" t="s">
        <v>168</v>
      </c>
      <c r="F58" s="5" t="str">
        <f>IF(COUNTA(C2)=0,"Ready","Check dependency status")</f>
        <v>Ready</v>
      </c>
    </row>
    <row r="59" spans="1:6" ht="16" x14ac:dyDescent="0.2">
      <c r="A59" s="5" t="s">
        <v>351</v>
      </c>
      <c r="B59" s="5" t="s">
        <v>352</v>
      </c>
      <c r="C59" s="5" t="s">
        <v>355</v>
      </c>
      <c r="D59" s="5" t="s">
        <v>479</v>
      </c>
      <c r="E59" s="5" t="s">
        <v>168</v>
      </c>
      <c r="F59" s="5" t="str">
        <f>IF(COUNTA(C2)=0,"Ready","Check dependency status")</f>
        <v>Ready</v>
      </c>
    </row>
    <row r="60" spans="1:6" ht="16" x14ac:dyDescent="0.2">
      <c r="A60" s="5" t="s">
        <v>357</v>
      </c>
      <c r="B60" s="5" t="s">
        <v>359</v>
      </c>
      <c r="C60" s="5" t="s">
        <v>362</v>
      </c>
      <c r="D60" s="5" t="s">
        <v>479</v>
      </c>
      <c r="E60" s="5" t="s">
        <v>168</v>
      </c>
      <c r="F60" s="5" t="str">
        <f>IF(COUNTA(C2)=0,"Ready","Check dependency status")</f>
        <v>Ready</v>
      </c>
    </row>
    <row r="61" spans="1:6" ht="16" x14ac:dyDescent="0.2">
      <c r="A61" s="5" t="s">
        <v>364</v>
      </c>
      <c r="B61" s="5" t="s">
        <v>365</v>
      </c>
      <c r="C61" s="5" t="s">
        <v>357</v>
      </c>
      <c r="D61" s="5" t="s">
        <v>479</v>
      </c>
      <c r="E61" s="5" t="s">
        <v>168</v>
      </c>
      <c r="F61" s="5" t="str">
        <f>IF(COUNTA(C2)=0,"Ready","Check dependency status")</f>
        <v>Ready</v>
      </c>
    </row>
    <row r="62" spans="1:6" ht="16" x14ac:dyDescent="0.2">
      <c r="A62" s="5" t="s">
        <v>369</v>
      </c>
      <c r="B62" s="5" t="s">
        <v>370</v>
      </c>
      <c r="C62" s="5" t="s">
        <v>357</v>
      </c>
      <c r="D62" s="5" t="s">
        <v>479</v>
      </c>
      <c r="E62" s="5" t="s">
        <v>168</v>
      </c>
      <c r="F62" s="5" t="str">
        <f>IF(COUNTA(C2)=0,"Ready","Check dependency status")</f>
        <v>Ready</v>
      </c>
    </row>
    <row r="63" spans="1:6" ht="16" x14ac:dyDescent="0.2">
      <c r="A63" s="5" t="s">
        <v>373</v>
      </c>
      <c r="B63" s="5" t="s">
        <v>374</v>
      </c>
      <c r="C63" s="5" t="s">
        <v>377</v>
      </c>
      <c r="D63" s="5" t="s">
        <v>479</v>
      </c>
      <c r="E63" s="5" t="s">
        <v>168</v>
      </c>
      <c r="F63" s="5" t="str">
        <f>IF(COUNTA(C2)=0,"Ready","Check dependency status")</f>
        <v>Ready</v>
      </c>
    </row>
    <row r="64" spans="1:6" ht="16" x14ac:dyDescent="0.2">
      <c r="A64" s="5" t="s">
        <v>379</v>
      </c>
      <c r="B64" s="5" t="s">
        <v>380</v>
      </c>
      <c r="C64" s="5" t="s">
        <v>383</v>
      </c>
      <c r="D64" s="5" t="s">
        <v>479</v>
      </c>
      <c r="E64" s="5" t="s">
        <v>168</v>
      </c>
      <c r="F64" s="5" t="str">
        <f>IF(COUNTA(C2)=0,"Ready","Check dependency status")</f>
        <v>Ready</v>
      </c>
    </row>
    <row r="65" spans="1:6" ht="16" x14ac:dyDescent="0.2">
      <c r="A65" s="5" t="s">
        <v>385</v>
      </c>
      <c r="B65" s="5" t="s">
        <v>387</v>
      </c>
      <c r="C65" s="5" t="s">
        <v>391</v>
      </c>
      <c r="D65" s="5" t="s">
        <v>479</v>
      </c>
      <c r="E65" s="5" t="s">
        <v>168</v>
      </c>
      <c r="F65" s="5" t="str">
        <f>IF(COUNTA(C2)=0,"Ready","Check dependency status")</f>
        <v>Ready</v>
      </c>
    </row>
    <row r="66" spans="1:6" ht="16" x14ac:dyDescent="0.2">
      <c r="A66" s="5" t="s">
        <v>393</v>
      </c>
      <c r="B66" s="5" t="s">
        <v>394</v>
      </c>
      <c r="C66" s="5" t="s">
        <v>385</v>
      </c>
      <c r="D66" s="5" t="s">
        <v>479</v>
      </c>
      <c r="E66" s="5" t="s">
        <v>168</v>
      </c>
      <c r="F66" s="5" t="str">
        <f>IF(COUNTA(C2)=0,"Ready","Check dependency status")</f>
        <v>Ready</v>
      </c>
    </row>
    <row r="67" spans="1:6" ht="16" x14ac:dyDescent="0.2">
      <c r="A67" s="5" t="s">
        <v>398</v>
      </c>
      <c r="B67" s="5" t="s">
        <v>400</v>
      </c>
      <c r="C67" s="5" t="s">
        <v>385</v>
      </c>
      <c r="D67" s="5" t="s">
        <v>479</v>
      </c>
      <c r="E67" s="5" t="s">
        <v>168</v>
      </c>
      <c r="F67" s="5" t="str">
        <f>IF(COUNTA(C2)=0,"Ready","Check dependency status")</f>
        <v>Ready</v>
      </c>
    </row>
    <row r="68" spans="1:6" ht="16" x14ac:dyDescent="0.2">
      <c r="A68" s="5" t="s">
        <v>404</v>
      </c>
      <c r="B68" s="5" t="s">
        <v>405</v>
      </c>
      <c r="C68" s="5" t="s">
        <v>398</v>
      </c>
      <c r="D68" s="5" t="s">
        <v>479</v>
      </c>
      <c r="E68" s="5" t="s">
        <v>168</v>
      </c>
      <c r="F68" s="5" t="str">
        <f>IF(COUNTA(C2)=0,"Ready","Check dependency status")</f>
        <v>Ready</v>
      </c>
    </row>
    <row r="69" spans="1:6" ht="16" x14ac:dyDescent="0.2">
      <c r="A69" s="5" t="s">
        <v>409</v>
      </c>
      <c r="B69" s="5" t="s">
        <v>410</v>
      </c>
      <c r="C69" s="5" t="s">
        <v>413</v>
      </c>
      <c r="D69" s="5" t="s">
        <v>479</v>
      </c>
      <c r="E69" s="5" t="s">
        <v>168</v>
      </c>
      <c r="F69" s="5" t="str">
        <f>IF(COUNTA(C2)=0,"Ready","Check dependency status")</f>
        <v>Ready</v>
      </c>
    </row>
    <row r="70" spans="1:6" ht="16" x14ac:dyDescent="0.2">
      <c r="A70" s="5" t="s">
        <v>414</v>
      </c>
      <c r="B70" s="5" t="s">
        <v>416</v>
      </c>
      <c r="C70" s="5" t="s">
        <v>420</v>
      </c>
      <c r="D70" s="5" t="s">
        <v>479</v>
      </c>
      <c r="E70" s="5" t="s">
        <v>168</v>
      </c>
      <c r="F70" s="5" t="str">
        <f>IF(COUNTA(C2)=0,"Ready","Check dependency status")</f>
        <v>Ready</v>
      </c>
    </row>
    <row r="71" spans="1:6" ht="16" x14ac:dyDescent="0.2">
      <c r="A71" s="5" t="s">
        <v>421</v>
      </c>
      <c r="B71" s="5" t="s">
        <v>422</v>
      </c>
      <c r="C71" s="5" t="s">
        <v>425</v>
      </c>
      <c r="D71" s="5" t="s">
        <v>479</v>
      </c>
      <c r="E71" s="5" t="s">
        <v>168</v>
      </c>
      <c r="F71" s="5" t="str">
        <f>IF(COUNTA(C2)=0,"Ready","Check dependency status")</f>
        <v>Ready</v>
      </c>
    </row>
  </sheetData>
  <autoFilter ref="A1:F71" xr:uid="{00000000-0009-0000-0000-000005000000}"/>
  <pageMargins left="0.75" right="0.75" top="1" bottom="1" header="0.5" footer="0.5"/>
  <pageSetup fitToHeight="0"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I50"/>
  <sheetViews>
    <sheetView showGridLines="0" workbookViewId="0">
      <pane ySplit="1" topLeftCell="A26" activePane="bottomLeft" state="frozen"/>
      <selection pane="bottomLeft" activeCell="K38" sqref="K38"/>
    </sheetView>
  </sheetViews>
  <sheetFormatPr baseColWidth="10" defaultColWidth="8.83203125" defaultRowHeight="15" x14ac:dyDescent="0.2"/>
  <cols>
    <col min="1" max="2" width="12" customWidth="1"/>
    <col min="3" max="3" width="18" customWidth="1"/>
    <col min="4" max="4" width="45" customWidth="1"/>
    <col min="5" max="5" width="38" customWidth="1"/>
    <col min="6" max="6" width="55" customWidth="1"/>
    <col min="7" max="7" width="18" customWidth="1"/>
    <col min="8" max="8" width="45" customWidth="1"/>
    <col min="9" max="9" width="14" customWidth="1"/>
  </cols>
  <sheetData>
    <row r="1" spans="1:9" ht="16" x14ac:dyDescent="0.2">
      <c r="A1" s="4" t="s">
        <v>480</v>
      </c>
      <c r="B1" s="4" t="s">
        <v>481</v>
      </c>
      <c r="C1" s="4" t="s">
        <v>482</v>
      </c>
      <c r="D1" s="4" t="s">
        <v>483</v>
      </c>
      <c r="E1" s="4" t="s">
        <v>484</v>
      </c>
      <c r="F1" s="4" t="s">
        <v>485</v>
      </c>
      <c r="G1" s="4" t="s">
        <v>486</v>
      </c>
      <c r="H1" s="4" t="s">
        <v>41</v>
      </c>
      <c r="I1" s="4" t="s">
        <v>22</v>
      </c>
    </row>
    <row r="2" spans="1:9" ht="144" x14ac:dyDescent="0.2">
      <c r="A2" s="5" t="s">
        <v>487</v>
      </c>
      <c r="B2" s="5" t="s">
        <v>64</v>
      </c>
      <c r="C2" s="5" t="s">
        <v>488</v>
      </c>
      <c r="D2" s="5" t="s">
        <v>1026</v>
      </c>
      <c r="E2" s="5" t="s">
        <v>1027</v>
      </c>
      <c r="F2" s="5" t="s">
        <v>1028</v>
      </c>
      <c r="G2" s="5" t="s">
        <v>65</v>
      </c>
      <c r="H2" s="5" t="s">
        <v>1029</v>
      </c>
      <c r="I2" s="5" t="s">
        <v>13</v>
      </c>
    </row>
    <row r="3" spans="1:9" ht="32" x14ac:dyDescent="0.2">
      <c r="A3" s="5" t="s">
        <v>489</v>
      </c>
      <c r="B3" s="5" t="s">
        <v>64</v>
      </c>
      <c r="C3" s="5" t="s">
        <v>490</v>
      </c>
      <c r="D3" s="5" t="s">
        <v>970</v>
      </c>
      <c r="E3" s="5" t="s">
        <v>491</v>
      </c>
      <c r="F3" s="5" t="s">
        <v>492</v>
      </c>
      <c r="G3" s="5" t="s">
        <v>87</v>
      </c>
      <c r="H3" s="5" t="s">
        <v>493</v>
      </c>
      <c r="I3" s="5" t="s">
        <v>13</v>
      </c>
    </row>
    <row r="4" spans="1:9" ht="16" x14ac:dyDescent="0.2">
      <c r="A4" s="5" t="s">
        <v>494</v>
      </c>
      <c r="B4" s="5" t="s">
        <v>64</v>
      </c>
      <c r="C4" s="5" t="s">
        <v>490</v>
      </c>
      <c r="D4" s="5" t="s">
        <v>971</v>
      </c>
      <c r="E4" s="5" t="s">
        <v>495</v>
      </c>
      <c r="F4" s="5" t="s">
        <v>496</v>
      </c>
      <c r="G4" s="5" t="s">
        <v>87</v>
      </c>
      <c r="H4" s="5" t="s">
        <v>497</v>
      </c>
      <c r="I4" s="5" t="s">
        <v>13</v>
      </c>
    </row>
    <row r="5" spans="1:9" ht="409.6" x14ac:dyDescent="0.2">
      <c r="A5" s="5" t="inlineStr">
        <is>
          <t>CODE-048</t>
        </is>
      </c>
      <c r="B5" s="5" t="inlineStr">
        <is>
          <t>Backend</t>
        </is>
      </c>
      <c r="C5" s="5" t="inlineStr">
        <is>
          <t>auth / supabase</t>
        </is>
      </c>
      <c r="D5" s="5" t="inlineStr">
        <is>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is>
      </c>
      <c r="E5" s="5" t="inlineStr">
        <is>
          <t>Create authentication integration foundation</t>
        </is>
      </c>
      <c r="F5" s="5" t="inlineStr">
        <is>
          <t>Install and configure @supabase/supabase-js and pg for the NestJS API. Create
separate injectable Supabase public and admin clients. The public client uses
SUPABASE_URL and SUPABASE_ANON_KEY. The admin client uses SUPABASE_URL and
SUPABASE_SERVICE_ROLE_KEY and must remain server-only.
Read configuration only through ConfigService. Never return, log, serialize, or
otherwise expose the service-role key.
Define the approved authentication response contract:
- session is either null or an object containing accessToken, refreshToken,
  expiresIn, expiresAt, and tokenType.
- requiresEmailConfirmation is boolean.
- user contains id, email, tenantId, role, fullName, and phone.
Update RegisterDto so registration accepts only email, password, companyName,
fullName, and phone. Remove the client-supplied role field. LoginDto remains
email and password.
Register the providers and authentication types through AuthModule. Add focused
unit tests for provider construction, configuration validation, response
mapping types, and secret boundaries.
Do not implement registration orchestration, login behavior, controllers,
database writes, JWT validation, guards, frontend changes, or hosted calls.</t>
        </is>
      </c>
      <c r="G5" s="5" t="inlineStr">
        <is>
          <t>IAM-015,IAM-016</t>
        </is>
      </c>
      <c r="H5" s="5" t="inlineStr">
        <is>
          <t>The API package contains @supabase/supabase-js, pg, and required type
dependencies. Injectable public and admin Supabase clients are available through
Nest dependency injection. The public client uses only the anonymous key and the
admin client uses the server-only service-role key.
RegisterDto accepts email, password, companyName, fullName, and phone and no
longer accepts role. Auth response DTOs represent the approved nullable-session,
requiresEmailConfirmation, and user-context contract.
Configuration is loaded through ConfigService. No secret value is printed,
returned, committed, or exposed to frontend code. Unit tests pass. No Auth user,
tenant, app-user, session, controller, RLS policy, frontend, or hosted-project
operation is created.</t>
        </is>
      </c>
      <c r="I5" s="5" t="inlineStr">
        <is>
          <t>Done</t>
        </is>
      </c>
    </row>
    <row r="6" spans="1:9" ht="409.6" x14ac:dyDescent="0.2">
      <c r="A6" s="5" t="inlineStr">
        <is>
          <t>CODE-005</t>
        </is>
      </c>
      <c r="B6" s="5" t="inlineStr">
        <is>
          <t>Backend</t>
        </is>
      </c>
      <c r="C6" s="5" t="inlineStr">
        <is>
          <t>auth</t>
        </is>
      </c>
      <c r="D6" s="5" t="inlineStr">
        <is>
          <t>apps/api/src/modules/auth/auth.service.ts; apps/api/src/modules/auth/auth.repository.ts; apps/api/src/modules/auth/auth.service.spec.ts; apps/api/src/modules/auth/auth.repository.spec.ts</t>
        </is>
      </c>
      <c r="E6" s="5" t="inlineStr">
        <is>
          <t>Implement company registration orchestration</t>
        </is>
      </c>
      <c r="F6" s="5" t="inlineStr">
        <is>
          <t>Implement the registration service using the injectable Supabase clients and a
PostgreSQL repository backed by pg and DATABASE_URL.
Accept RegisterDto containing email, password, companyName, fullName, and phone.
Do not accept or trust a client-supplied role. Assign admin to the first user.
Create the Supabase Auth identity through the public sign-up capability and
respect the Supabase email-confirmation setting. Then create exactly one tenant
and one app_users record in one PostgreSQL transaction. The app_users id equals
the Supabase Auth user id and references the new tenant.
If the database transaction fails after Auth creation, roll back all database
writes and attempt compensating deletion of the Auth identity through the admin
client. If compensation fails, log only the orphaned Auth user identifier and a
safe internal error; never log keys, passwords, access tokens, refresh tokens,
or provider response bodies.
Return the approved auth response. When Supabase returns no session because
email confirmation is required, return session null and
requiresEmailConfirmation true.
Map duplicate email or tenant name to 409, provider unavailability to 503, and
unexpected or failed-compensation errors to 500.
Do not create transporter_profiles, controllers, login behavior, guards, JWT
strategy code, RLS policies, frontend code, or hosted operations.</t>
        </is>
      </c>
      <c r="G6" s="5" t="inlineStr">
        <is>
          <t>IAM-015</t>
        </is>
      </c>
      <c r="H6" s="5" t="inlineStr">
        <is>
          <t>Successful registration creates exactly one Supabase Auth identity, one tenant,
and one linked app_users row with role admin. Tenant and app-user writes occur
in one PostgreSQL transaction.
The returned response follows the approved session and user-context contract.
When email confirmation is required, session is null and
requiresEmailConfirmation is true.
A database failure leaves no tenant or app_users records and triggers
compensating Auth-user deletion. Tests cover successful registration, role
derivation, duplicate email, duplicate company name, Auth failure, transaction
rollback, successful compensation, failed compensation, confirmation-required
responses, session responses, and secret-safe errors.
No transporter profile, controller, login implementation, RLS policy, frontend
file, hosted database, or hosted Auth operation is modified.</t>
        </is>
      </c>
      <c r="I6" s="5" t="inlineStr">
        <is>
          <t>Done</t>
        </is>
      </c>
    </row>
    <row r="7" spans="1:9" ht="409.6" x14ac:dyDescent="0.2">
      <c r="A7" s="5" t="inlineStr">
        <is>
          <t>CODE-049</t>
        </is>
      </c>
      <c r="B7" s="5" t="inlineStr">
        <is>
          <t>Backend</t>
        </is>
      </c>
      <c r="C7" s="5" t="inlineStr">
        <is>
          <t>auth</t>
        </is>
      </c>
      <c r="D7" s="5" t="inlineStr">
        <is>
          <t>apps/api/src/modules/auth/auth.service.ts; apps/api/src/modules/auth/auth.repository.ts; apps/api/src/modules/auth/auth.service.spec.ts; apps/api/src/modules/auth/auth.repository.spec.ts</t>
        </is>
      </c>
      <c r="E7" s="5" t="inlineStr">
        <is>
          <t>Implement login service and user context</t>
        </is>
      </c>
      <c r="F7" s="5" t="inlineStr">
        <is>
          <t>Add login behavior to AuthService using the public Supabase client.
Authenticate email and password through Supabase Auth. For a successful session,
load the linked public.app_users record and return user context containing id,
email, tenantId, role, fullName, and phone.
Return the approved non-null session object containing accessToken,
refreshToken, expiresIn, expiresAt, and tokenType, with
requiresEmailConfirmation false.
Map invalid credentials to 401. Map a valid Auth identity without a linked
app_users profile to 403. Map Supabase availability errors to 503 and unexpected
consistency failures to a safe 500.
Never use or expose the service-role key for password authentication. Do not
implement controllers, JWT strategy, guards, refresh endpoints, logout,
frontend integration, RLS policies, or hosted operations.</t>
        </is>
      </c>
      <c r="G7" s="5" t="inlineStr">
        <is>
          <t>IAM-016</t>
        </is>
      </c>
      <c r="H7" s="5" t="inlineStr">
        <is>
          <t>Valid credentials return a Supabase session and linked app-user context
containing user id, email, tenant id, role, full name, and phone. Invalid
credentials return 401 without revealing whether the email exists.
A valid Auth identity without an app_users row returns 403. Provider
unavailability returns 503. Unexpected failures return a safe 500.
Tests cover valid login, invalid credentials, missing profile, session mapping,
tenant and role context, provider failure, and absence of secrets in responses
and logs.
No controller, JWT strategy, guard, registration side effect, frontend file,
RLS policy, hosted database, or hosted Auth project is modified.</t>
        </is>
      </c>
      <c r="I7" s="5" t="inlineStr">
        <is>
          <t>Done</t>
        </is>
      </c>
    </row>
    <row r="8" spans="1:9" ht="288" x14ac:dyDescent="0.2">
      <c r="A8" s="5" t="inlineStr">
        <is>
          <t>CODE-004</t>
        </is>
      </c>
      <c r="B8" s="5" t="inlineStr">
        <is>
          <t>Backend</t>
        </is>
      </c>
      <c r="C8" s="5" t="inlineStr">
        <is>
          <t>auth</t>
        </is>
      </c>
      <c r="D8" s="5" t="inlineStr">
        <is>
          <t>apps/api/src/modules/auth/auth.controller.ts; apps/api/src/modules/auth/auth.controller.spec.ts</t>
        </is>
      </c>
      <c r="E8" s="5" t="inlineStr">
        <is>
          <t>Implement register and login controllers</t>
        </is>
      </c>
      <c r="F8" s="5" t="inlineStr">
        <is>
          <t>Implement thin NestJS controller endpoints backed only by AuthService.
POST /auth/register accepts RegisterDto, delegates to AuthService.register, and
returns the approved AuthResponseDto with HTTP 201.
POST /auth/login accepts LoginDto, delegates to AuthService.login, and returns
the approved AuthResponseDto with HTTP 200.
The controller must not instantiate Supabase clients, access ConfigService,
perform database queries, manage transactions, create JWTs, or expose provider
errors. Preserve Nest DTO validation and service-level safe exception mappings.
Do not modify services, repositories, Supabase providers, JWT strategy, guards,
frontend files, RLS policies, or hosted resources.</t>
        </is>
      </c>
      <c r="G8" s="5" t="inlineStr">
        <is>
          <t>IAM-015,IAM-016</t>
        </is>
      </c>
      <c r="H8" s="5" t="inlineStr">
        <is>
          <t>POST /auth/register returns HTTP 201 and the AuthService registration response.
POST /auth/login returns HTTP 200 and the AuthService login response.
Controller tests verify DTO delegation, status codes, response forwarding, and
safe propagation of documented HTTP exceptions. The controller contains no
Supabase, database, transaction, JWT-signing, or secret-handling logic.</t>
        </is>
      </c>
      <c r="I8" s="5" t="inlineStr">
        <is>
          <t>Done</t>
        </is>
      </c>
    </row>
    <row r="9" spans="1:9" ht="16" x14ac:dyDescent="0.2">
      <c r="A9" s="5" t="s">
        <v>507</v>
      </c>
      <c r="B9" s="5" t="s">
        <v>64</v>
      </c>
      <c r="C9" s="5" t="s">
        <v>490</v>
      </c>
      <c r="D9" s="5" t="s">
        <v>1048</v>
      </c>
      <c r="E9" s="5" t="s">
        <v>1049</v>
      </c>
      <c r="F9" s="5" t="s">
        <v>1050</v>
      </c>
      <c r="G9" s="5" t="s">
        <v>130</v>
      </c>
      <c r="H9" s="5" t="s">
        <v>1051</v>
      </c>
      <c r="I9" s="5" t="s">
        <v>13</v>
      </c>
    </row>
    <row r="10" spans="1:9" ht="16" x14ac:dyDescent="0.2">
      <c r="A10" s="5" t="s">
        <v>511</v>
      </c>
      <c r="B10" s="5" t="s">
        <v>64</v>
      </c>
      <c r="C10" s="5" t="s">
        <v>512</v>
      </c>
      <c r="D10" s="5" t="s">
        <v>1052</v>
      </c>
      <c r="E10" s="5" t="s">
        <v>1053</v>
      </c>
      <c r="F10" s="5" t="s">
        <v>1054</v>
      </c>
      <c r="G10" s="5" t="s">
        <v>141</v>
      </c>
      <c r="H10" s="5" t="s">
        <v>1055</v>
      </c>
      <c r="I10" s="5" t="s">
        <v>25</v>
      </c>
    </row>
    <row r="11" spans="1:9" ht="16" x14ac:dyDescent="0.2">
      <c r="A11" s="5" t="s">
        <v>516</v>
      </c>
      <c r="B11" s="5" t="s">
        <v>64</v>
      </c>
      <c r="C11" s="5" t="s">
        <v>512</v>
      </c>
      <c r="D11" s="5" t="s">
        <v>976</v>
      </c>
      <c r="E11" s="5" t="s">
        <v>517</v>
      </c>
      <c r="F11" s="5" t="s">
        <v>518</v>
      </c>
      <c r="G11" s="5" t="s">
        <v>141</v>
      </c>
      <c r="H11" s="5" t="s">
        <v>519</v>
      </c>
      <c r="I11" s="5" t="s">
        <v>25</v>
      </c>
    </row>
    <row r="12" spans="1:9" ht="16" x14ac:dyDescent="0.2">
      <c r="A12" s="5" t="s">
        <v>520</v>
      </c>
      <c r="B12" s="5" t="s">
        <v>64</v>
      </c>
      <c r="C12" s="5" t="s">
        <v>521</v>
      </c>
      <c r="D12" s="5" t="s">
        <v>977</v>
      </c>
      <c r="E12" s="5" t="s">
        <v>522</v>
      </c>
      <c r="F12" s="5" t="s">
        <v>523</v>
      </c>
      <c r="G12" s="5" t="s">
        <v>177</v>
      </c>
      <c r="H12" s="5" t="s">
        <v>524</v>
      </c>
      <c r="I12" s="5" t="s">
        <v>25</v>
      </c>
    </row>
    <row r="13" spans="1:9" ht="16" x14ac:dyDescent="0.2">
      <c r="A13" s="5" t="s">
        <v>525</v>
      </c>
      <c r="B13" s="5" t="s">
        <v>64</v>
      </c>
      <c r="C13" s="5" t="s">
        <v>526</v>
      </c>
      <c r="D13" s="5" t="s">
        <v>978</v>
      </c>
      <c r="E13" s="5" t="s">
        <v>527</v>
      </c>
      <c r="F13" s="5" t="s">
        <v>528</v>
      </c>
      <c r="G13" s="5" t="s">
        <v>161</v>
      </c>
      <c r="H13" s="5" t="s">
        <v>529</v>
      </c>
      <c r="I13" s="5" t="s">
        <v>25</v>
      </c>
    </row>
    <row r="14" spans="1:9" ht="16" x14ac:dyDescent="0.2">
      <c r="A14" s="5" t="s">
        <v>530</v>
      </c>
      <c r="B14" s="5" t="s">
        <v>64</v>
      </c>
      <c r="C14" s="5" t="s">
        <v>526</v>
      </c>
      <c r="D14" s="5" t="s">
        <v>979</v>
      </c>
      <c r="E14" s="5" t="s">
        <v>531</v>
      </c>
      <c r="F14" s="5" t="s">
        <v>532</v>
      </c>
      <c r="G14" s="5" t="s">
        <v>161</v>
      </c>
      <c r="H14" s="5" t="s">
        <v>533</v>
      </c>
      <c r="I14" s="5" t="s">
        <v>25</v>
      </c>
    </row>
    <row r="15" spans="1:9" ht="32" x14ac:dyDescent="0.2">
      <c r="A15" s="5" t="s">
        <v>534</v>
      </c>
      <c r="B15" s="5" t="s">
        <v>64</v>
      </c>
      <c r="C15" s="5" t="s">
        <v>535</v>
      </c>
      <c r="D15" s="5" t="s">
        <v>980</v>
      </c>
      <c r="E15" s="5" t="s">
        <v>536</v>
      </c>
      <c r="F15" s="5" t="s">
        <v>537</v>
      </c>
      <c r="G15" s="5" t="s">
        <v>538</v>
      </c>
      <c r="H15" s="5" t="s">
        <v>539</v>
      </c>
      <c r="I15" s="5" t="s">
        <v>25</v>
      </c>
    </row>
    <row r="16" spans="1:9" ht="16" x14ac:dyDescent="0.2">
      <c r="A16" s="5" t="s">
        <v>540</v>
      </c>
      <c r="B16" s="5" t="s">
        <v>64</v>
      </c>
      <c r="C16" s="5" t="s">
        <v>535</v>
      </c>
      <c r="D16" s="5" t="s">
        <v>931</v>
      </c>
      <c r="E16" s="5" t="s">
        <v>541</v>
      </c>
      <c r="F16" s="5" t="s">
        <v>542</v>
      </c>
      <c r="G16" s="5" t="s">
        <v>538</v>
      </c>
      <c r="H16" s="5" t="s">
        <v>543</v>
      </c>
      <c r="I16" s="5" t="s">
        <v>25</v>
      </c>
    </row>
    <row r="17" spans="1:9" ht="16" x14ac:dyDescent="0.2">
      <c r="A17" s="5" t="s">
        <v>544</v>
      </c>
      <c r="B17" s="5" t="s">
        <v>64</v>
      </c>
      <c r="C17" s="5" t="s">
        <v>545</v>
      </c>
      <c r="D17" s="5" t="s">
        <v>981</v>
      </c>
      <c r="E17" s="5" t="s">
        <v>546</v>
      </c>
      <c r="F17" s="5" t="s">
        <v>547</v>
      </c>
      <c r="G17" s="5" t="s">
        <v>195</v>
      </c>
      <c r="H17" s="5" t="s">
        <v>548</v>
      </c>
      <c r="I17" s="5" t="s">
        <v>25</v>
      </c>
    </row>
    <row r="18" spans="1:9" ht="32" x14ac:dyDescent="0.2">
      <c r="A18" s="5" t="s">
        <v>549</v>
      </c>
      <c r="B18" s="5" t="s">
        <v>64</v>
      </c>
      <c r="C18" s="5" t="s">
        <v>545</v>
      </c>
      <c r="D18" s="5" t="s">
        <v>982</v>
      </c>
      <c r="E18" s="5" t="s">
        <v>550</v>
      </c>
      <c r="F18" s="5" t="s">
        <v>551</v>
      </c>
      <c r="G18" s="5" t="s">
        <v>552</v>
      </c>
      <c r="H18" s="5" t="s">
        <v>553</v>
      </c>
      <c r="I18" s="5" t="s">
        <v>25</v>
      </c>
    </row>
    <row r="19" spans="1:9" ht="32" x14ac:dyDescent="0.2">
      <c r="A19" s="5" t="s">
        <v>554</v>
      </c>
      <c r="B19" s="5" t="s">
        <v>64</v>
      </c>
      <c r="C19" s="5" t="s">
        <v>545</v>
      </c>
      <c r="D19" s="5" t="s">
        <v>939</v>
      </c>
      <c r="E19" s="5" t="s">
        <v>555</v>
      </c>
      <c r="F19" s="5" t="s">
        <v>556</v>
      </c>
      <c r="G19" s="5" t="s">
        <v>552</v>
      </c>
      <c r="H19" s="5" t="s">
        <v>557</v>
      </c>
      <c r="I19" s="5" t="s">
        <v>25</v>
      </c>
    </row>
    <row r="20" spans="1:9" ht="32" x14ac:dyDescent="0.2">
      <c r="A20" s="5" t="s">
        <v>558</v>
      </c>
      <c r="B20" s="5" t="s">
        <v>64</v>
      </c>
      <c r="C20" s="5" t="s">
        <v>545</v>
      </c>
      <c r="D20" s="5" t="s">
        <v>940</v>
      </c>
      <c r="E20" s="5" t="s">
        <v>559</v>
      </c>
      <c r="F20" s="5" t="s">
        <v>560</v>
      </c>
      <c r="G20" s="5" t="s">
        <v>213</v>
      </c>
      <c r="H20" s="5" t="s">
        <v>561</v>
      </c>
      <c r="I20" s="5" t="s">
        <v>25</v>
      </c>
    </row>
    <row r="21" spans="1:9" ht="16" x14ac:dyDescent="0.2">
      <c r="A21" s="5" t="s">
        <v>562</v>
      </c>
      <c r="B21" s="5" t="s">
        <v>64</v>
      </c>
      <c r="C21" s="5" t="s">
        <v>563</v>
      </c>
      <c r="D21" s="5" t="s">
        <v>983</v>
      </c>
      <c r="E21" s="5" t="s">
        <v>564</v>
      </c>
      <c r="F21" s="5" t="s">
        <v>565</v>
      </c>
      <c r="G21" s="5" t="s">
        <v>240</v>
      </c>
      <c r="H21" s="5" t="s">
        <v>566</v>
      </c>
      <c r="I21" s="5" t="s">
        <v>25</v>
      </c>
    </row>
    <row r="22" spans="1:9" ht="16" x14ac:dyDescent="0.2">
      <c r="A22" s="5" t="s">
        <v>567</v>
      </c>
      <c r="B22" s="5" t="s">
        <v>64</v>
      </c>
      <c r="C22" s="5" t="s">
        <v>563</v>
      </c>
      <c r="D22" s="5" t="s">
        <v>984</v>
      </c>
      <c r="E22" s="5" t="s">
        <v>568</v>
      </c>
      <c r="F22" s="5" t="s">
        <v>569</v>
      </c>
      <c r="G22" s="5" t="s">
        <v>240</v>
      </c>
      <c r="H22" s="5" t="s">
        <v>570</v>
      </c>
      <c r="I22" s="5" t="s">
        <v>25</v>
      </c>
    </row>
    <row r="23" spans="1:9" ht="32" x14ac:dyDescent="0.2">
      <c r="A23" s="5" t="s">
        <v>571</v>
      </c>
      <c r="B23" s="5" t="s">
        <v>64</v>
      </c>
      <c r="C23" s="5" t="s">
        <v>572</v>
      </c>
      <c r="D23" s="5" t="s">
        <v>985</v>
      </c>
      <c r="E23" s="5" t="s">
        <v>573</v>
      </c>
      <c r="F23" s="5" t="s">
        <v>574</v>
      </c>
      <c r="G23" s="5" t="s">
        <v>262</v>
      </c>
      <c r="H23" s="5" t="s">
        <v>575</v>
      </c>
      <c r="I23" s="5" t="s">
        <v>25</v>
      </c>
    </row>
    <row r="24" spans="1:9" ht="32" x14ac:dyDescent="0.2">
      <c r="A24" s="5" t="s">
        <v>576</v>
      </c>
      <c r="B24" s="5" t="s">
        <v>64</v>
      </c>
      <c r="C24" s="5" t="s">
        <v>577</v>
      </c>
      <c r="D24" s="5" t="s">
        <v>950</v>
      </c>
      <c r="E24" s="5" t="s">
        <v>578</v>
      </c>
      <c r="F24" s="5" t="s">
        <v>579</v>
      </c>
      <c r="G24" s="5" t="s">
        <v>282</v>
      </c>
      <c r="H24" s="5" t="s">
        <v>580</v>
      </c>
      <c r="I24" s="5" t="s">
        <v>25</v>
      </c>
    </row>
    <row r="25" spans="1:9" ht="112" x14ac:dyDescent="0.2">
      <c r="A25" s="5" t="s">
        <v>581</v>
      </c>
      <c r="B25" s="5" t="s">
        <v>59</v>
      </c>
      <c r="C25" s="5" t="s">
        <v>490</v>
      </c>
      <c r="D25" s="5" t="s">
        <v>986</v>
      </c>
      <c r="E25" s="5" t="s">
        <v>582</v>
      </c>
      <c r="F25" s="5" t="s">
        <v>1022</v>
      </c>
      <c r="G25" s="5" t="s">
        <v>92</v>
      </c>
      <c r="H25" s="5" t="s">
        <v>1023</v>
      </c>
      <c r="I25" s="5" t="s">
        <v>13</v>
      </c>
    </row>
    <row r="26" spans="1:9" ht="160" x14ac:dyDescent="0.2">
      <c r="A26" s="5" t="s">
        <v>584</v>
      </c>
      <c r="B26" s="5" t="s">
        <v>59</v>
      </c>
      <c r="C26" s="5" t="s">
        <v>490</v>
      </c>
      <c r="D26" s="5" t="s">
        <v>987</v>
      </c>
      <c r="E26" s="5" t="s">
        <v>585</v>
      </c>
      <c r="F26" s="5" t="s">
        <v>1024</v>
      </c>
      <c r="G26" s="5" t="s">
        <v>92</v>
      </c>
      <c r="H26" s="5" t="s">
        <v>1025</v>
      </c>
      <c r="I26" s="5" t="s">
        <v>13</v>
      </c>
    </row>
    <row r="27" spans="1:9" ht="16" x14ac:dyDescent="0.2">
      <c r="A27" s="5" t="s">
        <v>586</v>
      </c>
      <c r="B27" s="5" t="s">
        <v>59</v>
      </c>
      <c r="C27" s="5" t="s">
        <v>587</v>
      </c>
      <c r="D27" s="5" t="s">
        <v>988</v>
      </c>
      <c r="E27" s="5" t="s">
        <v>588</v>
      </c>
      <c r="F27" s="5" t="s">
        <v>589</v>
      </c>
      <c r="G27" s="5" t="s">
        <v>135</v>
      </c>
      <c r="H27" s="5" t="s">
        <v>590</v>
      </c>
      <c r="I27" s="5" t="s">
        <v>25</v>
      </c>
    </row>
    <row r="28" spans="1:9" ht="16" x14ac:dyDescent="0.2">
      <c r="A28" s="5" t="s">
        <v>591</v>
      </c>
      <c r="B28" s="5" t="s">
        <v>59</v>
      </c>
      <c r="C28" s="5" t="s">
        <v>587</v>
      </c>
      <c r="D28" s="5" t="s">
        <v>989</v>
      </c>
      <c r="E28" s="5" t="s">
        <v>592</v>
      </c>
      <c r="F28" s="5" t="s">
        <v>593</v>
      </c>
      <c r="G28" s="5" t="s">
        <v>135</v>
      </c>
      <c r="H28" s="5" t="s">
        <v>594</v>
      </c>
      <c r="I28" s="5" t="s">
        <v>25</v>
      </c>
    </row>
    <row r="29" spans="1:9" ht="16" x14ac:dyDescent="0.2">
      <c r="A29" s="5" t="s">
        <v>595</v>
      </c>
      <c r="B29" s="5" t="s">
        <v>59</v>
      </c>
      <c r="C29" s="5" t="s">
        <v>596</v>
      </c>
      <c r="D29" s="5" t="s">
        <v>990</v>
      </c>
      <c r="E29" s="5" t="s">
        <v>597</v>
      </c>
      <c r="F29" s="5" t="s">
        <v>598</v>
      </c>
      <c r="G29" s="5" t="s">
        <v>172</v>
      </c>
      <c r="H29" s="5" t="s">
        <v>599</v>
      </c>
      <c r="I29" s="5" t="s">
        <v>25</v>
      </c>
    </row>
    <row r="30" spans="1:9" ht="16" x14ac:dyDescent="0.2">
      <c r="A30" s="5" t="s">
        <v>600</v>
      </c>
      <c r="B30" s="5" t="s">
        <v>59</v>
      </c>
      <c r="C30" s="5" t="s">
        <v>596</v>
      </c>
      <c r="D30" s="5" t="s">
        <v>991</v>
      </c>
      <c r="E30" s="5" t="s">
        <v>601</v>
      </c>
      <c r="F30" s="5" t="s">
        <v>602</v>
      </c>
      <c r="G30" s="5" t="s">
        <v>603</v>
      </c>
      <c r="H30" s="5" t="s">
        <v>604</v>
      </c>
      <c r="I30" s="5" t="s">
        <v>25</v>
      </c>
    </row>
    <row r="31" spans="1:9" ht="16" x14ac:dyDescent="0.2">
      <c r="A31" s="5" t="s">
        <v>605</v>
      </c>
      <c r="B31" s="5" t="s">
        <v>59</v>
      </c>
      <c r="C31" s="5" t="s">
        <v>545</v>
      </c>
      <c r="D31" s="5" t="s">
        <v>992</v>
      </c>
      <c r="E31" s="5" t="s">
        <v>220</v>
      </c>
      <c r="F31" s="5" t="s">
        <v>606</v>
      </c>
      <c r="G31" s="5" t="s">
        <v>607</v>
      </c>
      <c r="H31" s="5" t="s">
        <v>608</v>
      </c>
      <c r="I31" s="5" t="s">
        <v>25</v>
      </c>
    </row>
    <row r="32" spans="1:9" ht="16" x14ac:dyDescent="0.2">
      <c r="A32" s="5" t="s">
        <v>609</v>
      </c>
      <c r="B32" s="5" t="s">
        <v>59</v>
      </c>
      <c r="C32" s="5" t="s">
        <v>545</v>
      </c>
      <c r="D32" s="5" t="s">
        <v>993</v>
      </c>
      <c r="E32" s="5" t="s">
        <v>225</v>
      </c>
      <c r="F32" s="5" t="s">
        <v>610</v>
      </c>
      <c r="G32" s="5" t="s">
        <v>224</v>
      </c>
      <c r="H32" s="5" t="s">
        <v>611</v>
      </c>
      <c r="I32" s="5" t="s">
        <v>25</v>
      </c>
    </row>
    <row r="33" spans="1:9" ht="16" x14ac:dyDescent="0.2">
      <c r="A33" s="5" t="s">
        <v>612</v>
      </c>
      <c r="B33" s="5" t="s">
        <v>59</v>
      </c>
      <c r="C33" s="5" t="s">
        <v>545</v>
      </c>
      <c r="D33" s="5" t="s">
        <v>994</v>
      </c>
      <c r="E33" s="5" t="s">
        <v>230</v>
      </c>
      <c r="F33" s="5" t="s">
        <v>613</v>
      </c>
      <c r="G33" s="5" t="s">
        <v>229</v>
      </c>
      <c r="H33" s="5" t="s">
        <v>614</v>
      </c>
      <c r="I33" s="5" t="s">
        <v>25</v>
      </c>
    </row>
    <row r="34" spans="1:9" ht="16" x14ac:dyDescent="0.2">
      <c r="A34" s="5" t="s">
        <v>615</v>
      </c>
      <c r="B34" s="5" t="s">
        <v>59</v>
      </c>
      <c r="C34" s="5" t="s">
        <v>545</v>
      </c>
      <c r="D34" s="5" t="s">
        <v>995</v>
      </c>
      <c r="E34" s="5" t="s">
        <v>616</v>
      </c>
      <c r="F34" s="5" t="s">
        <v>617</v>
      </c>
      <c r="G34" s="5" t="s">
        <v>266</v>
      </c>
      <c r="H34" s="5" t="s">
        <v>618</v>
      </c>
      <c r="I34" s="5" t="s">
        <v>25</v>
      </c>
    </row>
    <row r="35" spans="1:9" ht="16" x14ac:dyDescent="0.2">
      <c r="A35" s="5" t="s">
        <v>619</v>
      </c>
      <c r="B35" s="5" t="s">
        <v>59</v>
      </c>
      <c r="C35" s="5" t="s">
        <v>563</v>
      </c>
      <c r="D35" s="5" t="s">
        <v>946</v>
      </c>
      <c r="E35" s="5" t="s">
        <v>620</v>
      </c>
      <c r="F35" s="5" t="s">
        <v>621</v>
      </c>
      <c r="G35" s="5" t="s">
        <v>250</v>
      </c>
      <c r="H35" s="5" t="s">
        <v>622</v>
      </c>
      <c r="I35" s="5" t="s">
        <v>25</v>
      </c>
    </row>
    <row r="36" spans="1:9" ht="16" x14ac:dyDescent="0.2">
      <c r="A36" s="5" t="s">
        <v>623</v>
      </c>
      <c r="B36" s="5" t="s">
        <v>59</v>
      </c>
      <c r="C36" s="5" t="s">
        <v>624</v>
      </c>
      <c r="D36" s="5" t="s">
        <v>949</v>
      </c>
      <c r="E36" s="5" t="s">
        <v>625</v>
      </c>
      <c r="F36" s="5" t="s">
        <v>626</v>
      </c>
      <c r="G36" s="5" t="s">
        <v>271</v>
      </c>
      <c r="H36" s="5" t="s">
        <v>627</v>
      </c>
      <c r="I36" s="5" t="s">
        <v>25</v>
      </c>
    </row>
    <row r="37" spans="1:9" ht="32" x14ac:dyDescent="0.2">
      <c r="A37" s="5" t="s">
        <v>628</v>
      </c>
      <c r="B37" s="5" t="s">
        <v>59</v>
      </c>
      <c r="C37" s="5" t="s">
        <v>577</v>
      </c>
      <c r="D37" s="5" t="s">
        <v>952</v>
      </c>
      <c r="E37" s="5" t="s">
        <v>629</v>
      </c>
      <c r="F37" s="5" t="s">
        <v>630</v>
      </c>
      <c r="G37" s="5" t="s">
        <v>291</v>
      </c>
      <c r="H37" s="5" t="s">
        <v>631</v>
      </c>
      <c r="I37" s="5" t="s">
        <v>25</v>
      </c>
    </row>
    <row r="38" spans="1:9" ht="409.6" x14ac:dyDescent="0.2">
      <c r="A38" s="5" t="s">
        <v>632</v>
      </c>
      <c r="B38" s="5" t="s">
        <v>80</v>
      </c>
      <c r="C38" s="5" t="s">
        <v>633</v>
      </c>
      <c r="D38" s="5" t="s">
        <v>1040</v>
      </c>
      <c r="E38" s="5" t="s">
        <v>634</v>
      </c>
      <c r="F38" s="5" t="s">
        <v>1041</v>
      </c>
      <c r="G38" s="5" t="s">
        <v>96</v>
      </c>
      <c r="H38" s="5" t="s">
        <v>1042</v>
      </c>
      <c r="I38" s="5" t="s">
        <v>13</v>
      </c>
    </row>
    <row r="39" spans="1:9" ht="16" x14ac:dyDescent="0.2">
      <c r="A39" s="5" t="s">
        <v>635</v>
      </c>
      <c r="B39" s="5" t="s">
        <v>80</v>
      </c>
      <c r="C39" s="5" t="s">
        <v>633</v>
      </c>
      <c r="D39" s="5" t="s">
        <v>189</v>
      </c>
      <c r="E39" s="5" t="s">
        <v>636</v>
      </c>
      <c r="F39" s="5" t="s">
        <v>637</v>
      </c>
      <c r="G39" s="5" t="s">
        <v>184</v>
      </c>
      <c r="H39" s="5" t="s">
        <v>638</v>
      </c>
      <c r="I39" s="5" t="s">
        <v>25</v>
      </c>
    </row>
    <row r="40" spans="1:9" ht="16" x14ac:dyDescent="0.2">
      <c r="A40" s="5" t="s">
        <v>639</v>
      </c>
      <c r="B40" s="5" t="s">
        <v>80</v>
      </c>
      <c r="C40" s="5" t="s">
        <v>633</v>
      </c>
      <c r="D40" s="5" t="s">
        <v>124</v>
      </c>
      <c r="E40" s="5" t="s">
        <v>640</v>
      </c>
      <c r="F40" s="5" t="s">
        <v>641</v>
      </c>
      <c r="G40" s="5" t="s">
        <v>117</v>
      </c>
      <c r="H40" s="5" t="s">
        <v>642</v>
      </c>
      <c r="I40" s="5" t="s">
        <v>25</v>
      </c>
    </row>
    <row r="41" spans="1:9" ht="16" x14ac:dyDescent="0.2">
      <c r="A41" s="5" t="s">
        <v>643</v>
      </c>
      <c r="B41" s="5" t="s">
        <v>80</v>
      </c>
      <c r="C41" s="5" t="s">
        <v>633</v>
      </c>
      <c r="D41" s="5" t="s">
        <v>644</v>
      </c>
      <c r="E41" s="5" t="s">
        <v>645</v>
      </c>
      <c r="F41" s="5" t="s">
        <v>646</v>
      </c>
      <c r="G41" s="5" t="s">
        <v>234</v>
      </c>
      <c r="H41" s="5" t="s">
        <v>647</v>
      </c>
      <c r="I41" s="5" t="s">
        <v>25</v>
      </c>
    </row>
    <row r="42" spans="1:9" ht="16" x14ac:dyDescent="0.2">
      <c r="A42" s="5" t="s">
        <v>648</v>
      </c>
      <c r="B42" s="5" t="s">
        <v>339</v>
      </c>
      <c r="C42" s="5" t="s">
        <v>649</v>
      </c>
      <c r="D42" s="5" t="s">
        <v>996</v>
      </c>
      <c r="E42" s="5" t="s">
        <v>650</v>
      </c>
      <c r="F42" s="5" t="s">
        <v>651</v>
      </c>
      <c r="G42" s="5" t="s">
        <v>341</v>
      </c>
      <c r="H42" s="5" t="s">
        <v>652</v>
      </c>
      <c r="I42" s="5" t="s">
        <v>25</v>
      </c>
    </row>
    <row r="43" spans="1:9" ht="16" x14ac:dyDescent="0.2">
      <c r="A43" s="5" t="s">
        <v>653</v>
      </c>
      <c r="B43" s="5" t="s">
        <v>339</v>
      </c>
      <c r="C43" s="5" t="s">
        <v>654</v>
      </c>
      <c r="D43" s="5" t="s">
        <v>356</v>
      </c>
      <c r="E43" s="5" t="s">
        <v>655</v>
      </c>
      <c r="F43" s="5" t="s">
        <v>656</v>
      </c>
      <c r="G43" s="5" t="s">
        <v>351</v>
      </c>
      <c r="H43" s="5" t="s">
        <v>657</v>
      </c>
      <c r="I43" s="5" t="s">
        <v>25</v>
      </c>
    </row>
    <row r="44" spans="1:9" ht="64" x14ac:dyDescent="0.2">
      <c r="A44" s="5" t="s">
        <v>913</v>
      </c>
      <c r="B44" s="5" t="s">
        <v>914</v>
      </c>
      <c r="C44" s="5" t="s">
        <v>915</v>
      </c>
      <c r="D44" s="5" t="s">
        <v>916</v>
      </c>
      <c r="E44" s="5" t="s">
        <v>917</v>
      </c>
      <c r="F44" s="5" t="s">
        <v>918</v>
      </c>
      <c r="G44" s="5" t="s">
        <v>903</v>
      </c>
      <c r="H44" s="5" t="s">
        <v>919</v>
      </c>
      <c r="I44" s="5" t="s">
        <v>13</v>
      </c>
    </row>
    <row r="45" spans="1:9" ht="80" x14ac:dyDescent="0.2">
      <c r="A45" s="5" t="s">
        <v>997</v>
      </c>
      <c r="B45" s="5" t="s">
        <v>914</v>
      </c>
      <c r="C45" s="5" t="s">
        <v>915</v>
      </c>
      <c r="D45" s="5" t="s">
        <v>998</v>
      </c>
      <c r="E45" s="5" t="s">
        <v>999</v>
      </c>
      <c r="F45" s="5" t="s">
        <v>1000</v>
      </c>
      <c r="G45" s="5" t="s">
        <v>963</v>
      </c>
      <c r="H45" s="5" t="s">
        <v>1001</v>
      </c>
      <c r="I45" s="5" t="s">
        <v>13</v>
      </c>
    </row>
    <row r="46" spans="1:9" ht="144" x14ac:dyDescent="0.2">
      <c r="A46" s="5" t="s">
        <v>1010</v>
      </c>
      <c r="B46" s="5" t="s">
        <v>914</v>
      </c>
      <c r="C46" s="5" t="s">
        <v>915</v>
      </c>
      <c r="D46" s="5" t="s">
        <v>1007</v>
      </c>
      <c r="E46" s="5" t="s">
        <v>1011</v>
      </c>
      <c r="F46" s="5" t="s">
        <v>1012</v>
      </c>
      <c r="G46" s="5" t="s">
        <v>1002</v>
      </c>
      <c r="H46" s="5" t="s">
        <v>1013</v>
      </c>
      <c r="I46" s="5" t="s">
        <v>13</v>
      </c>
    </row>
    <row r="47" spans="1:9" ht="96" x14ac:dyDescent="0.2">
      <c r="A47" s="5" t="s">
        <v>1016</v>
      </c>
      <c r="B47" s="5" t="s">
        <v>59</v>
      </c>
      <c r="C47" s="5" t="s">
        <v>1017</v>
      </c>
      <c r="D47" s="5" t="s">
        <v>1018</v>
      </c>
      <c r="E47" s="5" t="s">
        <v>1019</v>
      </c>
      <c r="F47" s="5" t="s">
        <v>1020</v>
      </c>
      <c r="G47" s="5" t="s">
        <v>57</v>
      </c>
      <c r="H47" s="5" t="s">
        <v>1021</v>
      </c>
      <c r="I47" s="5" t="s">
        <v>13</v>
      </c>
    </row>
    <row r="48" spans="1:9" ht="128" x14ac:dyDescent="0.2">
      <c r="A48" s="5" t="s">
        <v>1030</v>
      </c>
      <c r="B48" s="5" t="s">
        <v>80</v>
      </c>
      <c r="C48" s="5" t="s">
        <v>1031</v>
      </c>
      <c r="D48" s="5" t="s">
        <v>81</v>
      </c>
      <c r="E48" s="5" t="s">
        <v>1032</v>
      </c>
      <c r="F48" s="5" t="s">
        <v>1033</v>
      </c>
      <c r="G48" s="5" t="s">
        <v>75</v>
      </c>
      <c r="H48" s="5" t="s">
        <v>1034</v>
      </c>
      <c r="I48" s="5" t="s">
        <v>13</v>
      </c>
    </row>
    <row r="49" spans="1:9" ht="144" x14ac:dyDescent="0.2">
      <c r="A49" s="5" t="s">
        <v>1035</v>
      </c>
      <c r="B49" s="5" t="s">
        <v>80</v>
      </c>
      <c r="C49" s="5" t="s">
        <v>633</v>
      </c>
      <c r="D49" s="5" t="s">
        <v>1039</v>
      </c>
      <c r="E49" s="5" t="s">
        <v>1036</v>
      </c>
      <c r="F49" s="5" t="s">
        <v>1037</v>
      </c>
      <c r="G49" s="5" t="s">
        <v>82</v>
      </c>
      <c r="H49" s="5" t="s">
        <v>1038</v>
      </c>
      <c r="I49" s="5" t="s">
        <v>13</v>
      </c>
    </row>
    <row r="50" spans="1:9" ht="409.6" x14ac:dyDescent="0.2">
      <c r="A50" s="5" t="s">
        <v>1043</v>
      </c>
      <c r="B50" s="5" t="s">
        <v>80</v>
      </c>
      <c r="C50" s="5" t="s">
        <v>633</v>
      </c>
      <c r="D50" s="5" t="s">
        <v>1044</v>
      </c>
      <c r="E50" s="5" t="s">
        <v>1045</v>
      </c>
      <c r="F50" s="5" t="s">
        <v>1046</v>
      </c>
      <c r="G50" s="5" t="s">
        <v>102</v>
      </c>
      <c r="H50" s="5" t="s">
        <v>1047</v>
      </c>
      <c r="I50" s="5" t="s">
        <v>13</v>
      </c>
    </row>
  </sheetData>
  <autoFilter ref="A1:I50" xr:uid="{00000000-0009-0000-0000-000006000000}"/>
  <conditionalFormatting sqref="I2:I50">
    <cfRule type="expression" dxfId="14" priority="1">
      <formula>$I2="Done"</formula>
    </cfRule>
    <cfRule type="expression" dxfId="13" priority="2">
      <formula>$I2="In Progress"</formula>
    </cfRule>
    <cfRule type="expression" dxfId="12" priority="3">
      <formula>$I2="Blocked"</formula>
    </cfRule>
    <cfRule type="expression" dxfId="11" priority="4">
      <formula>$I2="Review"</formula>
    </cfRule>
    <cfRule type="expression" dxfId="10" priority="5">
      <formula>$I2="Todo"</formula>
    </cfRule>
  </conditionalFormatting>
  <dataValidations count="1">
    <dataValidation type="list" allowBlank="1" sqref="I2:I50" xr:uid="{00000000-0002-0000-0600-000000000000}">
      <formula1>"Todo,In Progress,Blocked,Review,Done"</formula1>
    </dataValidation>
  </dataValidations>
  <pageMargins left="0.75" right="0.75" top="1" bottom="1" header="0.5" footer="0.5"/>
  <pageSetup fitToHeight="0"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E46"/>
  <sheetViews>
    <sheetView showGridLines="0" workbookViewId="0">
      <pane ySplit="1" topLeftCell="A2" activePane="bottomLeft" state="frozen"/>
      <selection pane="bottomLeft"/>
    </sheetView>
  </sheetViews>
  <sheetFormatPr baseColWidth="10" defaultColWidth="8.83203125" defaultRowHeight="15" x14ac:dyDescent="0.2"/>
  <cols>
    <col min="1" max="1" width="14" customWidth="1"/>
    <col min="2" max="2" width="55" customWidth="1"/>
    <col min="3" max="3" width="45" customWidth="1"/>
    <col min="4" max="4" width="22" customWidth="1"/>
    <col min="5" max="5" width="14" customWidth="1"/>
  </cols>
  <sheetData>
    <row r="1" spans="1:5" ht="16" x14ac:dyDescent="0.2">
      <c r="A1" s="4" t="s">
        <v>658</v>
      </c>
      <c r="B1" s="4" t="s">
        <v>659</v>
      </c>
      <c r="C1" s="4" t="s">
        <v>660</v>
      </c>
      <c r="D1" s="4" t="s">
        <v>661</v>
      </c>
      <c r="E1" s="4" t="s">
        <v>662</v>
      </c>
    </row>
    <row r="2" spans="1:5" ht="32" x14ac:dyDescent="0.2">
      <c r="A2" s="5" t="s">
        <v>64</v>
      </c>
      <c r="B2" s="5" t="s">
        <v>1026</v>
      </c>
      <c r="C2" s="5" t="s">
        <v>1027</v>
      </c>
      <c r="D2" s="5" t="s">
        <v>65</v>
      </c>
      <c r="E2" s="5" t="s">
        <v>487</v>
      </c>
    </row>
    <row r="3" spans="1:5" ht="16" x14ac:dyDescent="0.2">
      <c r="A3" s="5" t="s">
        <v>64</v>
      </c>
      <c r="B3" s="5" t="s">
        <v>970</v>
      </c>
      <c r="C3" s="5" t="s">
        <v>491</v>
      </c>
      <c r="D3" s="5" t="s">
        <v>87</v>
      </c>
      <c r="E3" s="5" t="s">
        <v>489</v>
      </c>
    </row>
    <row r="4" spans="1:5" ht="16" x14ac:dyDescent="0.2">
      <c r="A4" s="5" t="s">
        <v>64</v>
      </c>
      <c r="B4" s="5" t="s">
        <v>971</v>
      </c>
      <c r="C4" s="5" t="s">
        <v>495</v>
      </c>
      <c r="D4" s="5" t="s">
        <v>87</v>
      </c>
      <c r="E4" s="5" t="s">
        <v>494</v>
      </c>
    </row>
    <row r="5" spans="1:5" ht="64" x14ac:dyDescent="0.2">
      <c r="A5" s="5" t="inlineStr">
        <is>
          <t>Backend</t>
        </is>
      </c>
      <c r="B5" s="5" t="inlineStr">
        <is>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is>
      </c>
      <c r="C5" s="5" t="inlineStr">
        <is>
          <t>Create authentication integration foundation</t>
        </is>
      </c>
      <c r="D5" s="5" t="inlineStr">
        <is>
          <t>IAM-015,IAM-016</t>
        </is>
      </c>
      <c r="E5" s="5" t="inlineStr">
        <is>
          <t>CODE-048</t>
        </is>
      </c>
    </row>
    <row r="6" spans="1:5" ht="48" x14ac:dyDescent="0.2">
      <c r="A6" s="5" t="inlineStr">
        <is>
          <t>Backend</t>
        </is>
      </c>
      <c r="B6" s="5" t="inlineStr">
        <is>
          <t>apps/api/src/modules/auth/auth.service.ts; apps/api/src/modules/auth/auth.repository.ts; apps/api/src/modules/auth/auth.service.spec.ts; apps/api/src/modules/auth/auth.repository.spec.ts</t>
        </is>
      </c>
      <c r="C6" s="5" t="inlineStr">
        <is>
          <t>Implement company registration orchestration</t>
        </is>
      </c>
      <c r="D6" s="5" t="inlineStr">
        <is>
          <t>IAM-015</t>
        </is>
      </c>
      <c r="E6" s="5" t="inlineStr">
        <is>
          <t>CODE-005</t>
        </is>
      </c>
    </row>
    <row r="7" spans="1:5" ht="48" x14ac:dyDescent="0.2">
      <c r="A7" s="5" t="inlineStr">
        <is>
          <t>Backend</t>
        </is>
      </c>
      <c r="B7" s="5" t="inlineStr">
        <is>
          <t>apps/api/src/modules/auth/auth.service.ts; apps/api/src/modules/auth/auth.repository.ts; apps/api/src/modules/auth/auth.service.spec.ts; apps/api/src/modules/auth/auth.repository.spec.ts</t>
        </is>
      </c>
      <c r="C7" s="5" t="inlineStr">
        <is>
          <t>Implement login service and user context</t>
        </is>
      </c>
      <c r="D7" s="5" t="inlineStr">
        <is>
          <t>IAM-016</t>
        </is>
      </c>
      <c r="E7" s="5" t="inlineStr">
        <is>
          <t>CODE-049</t>
        </is>
      </c>
    </row>
    <row r="8" spans="1:5" ht="32" x14ac:dyDescent="0.2">
      <c r="A8" s="5" t="inlineStr">
        <is>
          <t>Backend</t>
        </is>
      </c>
      <c r="B8" s="5" t="inlineStr">
        <is>
          <t>apps/api/src/modules/auth/auth.controller.ts; apps/api/src/modules/auth/auth.controller.spec.ts</t>
        </is>
      </c>
      <c r="C8" s="5" t="inlineStr">
        <is>
          <t>Implement register and login controllers</t>
        </is>
      </c>
      <c r="D8" s="5" t="inlineStr">
        <is>
          <t>IAM-015,IAM-016</t>
        </is>
      </c>
      <c r="E8" s="5" t="inlineStr">
        <is>
          <t>CODE-004</t>
        </is>
      </c>
    </row>
    <row r="9" spans="1:5" ht="16" x14ac:dyDescent="0.2">
      <c r="A9" s="5" t="s">
        <v>64</v>
      </c>
      <c r="B9" s="5" t="s">
        <v>1048</v>
      </c>
      <c r="C9" s="5" t="s">
        <v>1049</v>
      </c>
      <c r="D9" s="5" t="s">
        <v>130</v>
      </c>
      <c r="E9" s="5" t="s">
        <v>507</v>
      </c>
    </row>
    <row r="10" spans="1:5" ht="16" x14ac:dyDescent="0.2">
      <c r="A10" s="5" t="s">
        <v>64</v>
      </c>
      <c r="B10" s="5" t="s">
        <v>1052</v>
      </c>
      <c r="C10" s="5" t="s">
        <v>1053</v>
      </c>
      <c r="D10" s="5" t="s">
        <v>141</v>
      </c>
      <c r="E10" s="5" t="s">
        <v>511</v>
      </c>
    </row>
    <row r="11" spans="1:5" ht="16" x14ac:dyDescent="0.2">
      <c r="A11" s="5" t="s">
        <v>64</v>
      </c>
      <c r="B11" s="5" t="s">
        <v>976</v>
      </c>
      <c r="C11" s="5" t="s">
        <v>517</v>
      </c>
      <c r="D11" s="5" t="s">
        <v>141</v>
      </c>
      <c r="E11" s="5" t="s">
        <v>516</v>
      </c>
    </row>
    <row r="12" spans="1:5" ht="16" x14ac:dyDescent="0.2">
      <c r="A12" s="5" t="s">
        <v>64</v>
      </c>
      <c r="B12" s="5" t="s">
        <v>977</v>
      </c>
      <c r="C12" s="5" t="s">
        <v>522</v>
      </c>
      <c r="D12" s="5" t="s">
        <v>177</v>
      </c>
      <c r="E12" s="5" t="s">
        <v>520</v>
      </c>
    </row>
    <row r="13" spans="1:5" ht="16" x14ac:dyDescent="0.2">
      <c r="A13" s="5" t="s">
        <v>64</v>
      </c>
      <c r="B13" s="5" t="s">
        <v>978</v>
      </c>
      <c r="C13" s="5" t="s">
        <v>527</v>
      </c>
      <c r="D13" s="5" t="s">
        <v>161</v>
      </c>
      <c r="E13" s="5" t="s">
        <v>525</v>
      </c>
    </row>
    <row r="14" spans="1:5" ht="16" x14ac:dyDescent="0.2">
      <c r="A14" s="5" t="s">
        <v>64</v>
      </c>
      <c r="B14" s="5" t="s">
        <v>979</v>
      </c>
      <c r="C14" s="5" t="s">
        <v>531</v>
      </c>
      <c r="D14" s="5" t="s">
        <v>161</v>
      </c>
      <c r="E14" s="5" t="s">
        <v>530</v>
      </c>
    </row>
    <row r="15" spans="1:5" ht="16" x14ac:dyDescent="0.2">
      <c r="A15" s="5" t="s">
        <v>64</v>
      </c>
      <c r="B15" s="5" t="s">
        <v>980</v>
      </c>
      <c r="C15" s="5" t="s">
        <v>536</v>
      </c>
      <c r="D15" s="5" t="s">
        <v>538</v>
      </c>
      <c r="E15" s="5" t="s">
        <v>534</v>
      </c>
    </row>
    <row r="16" spans="1:5" ht="16" x14ac:dyDescent="0.2">
      <c r="A16" s="5" t="s">
        <v>64</v>
      </c>
      <c r="B16" s="5" t="s">
        <v>931</v>
      </c>
      <c r="C16" s="5" t="s">
        <v>541</v>
      </c>
      <c r="D16" s="5" t="s">
        <v>538</v>
      </c>
      <c r="E16" s="5" t="s">
        <v>540</v>
      </c>
    </row>
    <row r="17" spans="1:5" ht="16" x14ac:dyDescent="0.2">
      <c r="A17" s="5" t="s">
        <v>64</v>
      </c>
      <c r="B17" s="5" t="s">
        <v>981</v>
      </c>
      <c r="C17" s="5" t="s">
        <v>546</v>
      </c>
      <c r="D17" s="5" t="s">
        <v>195</v>
      </c>
      <c r="E17" s="5" t="s">
        <v>544</v>
      </c>
    </row>
    <row r="18" spans="1:5" ht="16" x14ac:dyDescent="0.2">
      <c r="A18" s="5" t="s">
        <v>64</v>
      </c>
      <c r="B18" s="5" t="s">
        <v>982</v>
      </c>
      <c r="C18" s="5" t="s">
        <v>550</v>
      </c>
      <c r="D18" s="5" t="s">
        <v>552</v>
      </c>
      <c r="E18" s="5" t="s">
        <v>549</v>
      </c>
    </row>
    <row r="19" spans="1:5" ht="16" x14ac:dyDescent="0.2">
      <c r="A19" s="5" t="s">
        <v>64</v>
      </c>
      <c r="B19" s="5" t="s">
        <v>939</v>
      </c>
      <c r="C19" s="5" t="s">
        <v>555</v>
      </c>
      <c r="D19" s="5" t="s">
        <v>552</v>
      </c>
      <c r="E19" s="5" t="s">
        <v>554</v>
      </c>
    </row>
    <row r="20" spans="1:5" ht="16" x14ac:dyDescent="0.2">
      <c r="A20" s="5" t="s">
        <v>64</v>
      </c>
      <c r="B20" s="5" t="s">
        <v>940</v>
      </c>
      <c r="C20" s="5" t="s">
        <v>559</v>
      </c>
      <c r="D20" s="5" t="s">
        <v>213</v>
      </c>
      <c r="E20" s="5" t="s">
        <v>558</v>
      </c>
    </row>
    <row r="21" spans="1:5" ht="16" x14ac:dyDescent="0.2">
      <c r="A21" s="5" t="s">
        <v>64</v>
      </c>
      <c r="B21" s="5" t="s">
        <v>983</v>
      </c>
      <c r="C21" s="5" t="s">
        <v>564</v>
      </c>
      <c r="D21" s="5" t="s">
        <v>240</v>
      </c>
      <c r="E21" s="5" t="s">
        <v>562</v>
      </c>
    </row>
    <row r="22" spans="1:5" ht="16" x14ac:dyDescent="0.2">
      <c r="A22" s="5" t="s">
        <v>64</v>
      </c>
      <c r="B22" s="5" t="s">
        <v>984</v>
      </c>
      <c r="C22" s="5" t="s">
        <v>568</v>
      </c>
      <c r="D22" s="5" t="s">
        <v>240</v>
      </c>
      <c r="E22" s="5" t="s">
        <v>567</v>
      </c>
    </row>
    <row r="23" spans="1:5" ht="16" x14ac:dyDescent="0.2">
      <c r="A23" s="5" t="s">
        <v>64</v>
      </c>
      <c r="B23" s="5" t="s">
        <v>985</v>
      </c>
      <c r="C23" s="5" t="s">
        <v>573</v>
      </c>
      <c r="D23" s="5" t="s">
        <v>262</v>
      </c>
      <c r="E23" s="5" t="s">
        <v>571</v>
      </c>
    </row>
    <row r="24" spans="1:5" ht="16" x14ac:dyDescent="0.2">
      <c r="A24" s="5" t="s">
        <v>64</v>
      </c>
      <c r="B24" s="5" t="s">
        <v>950</v>
      </c>
      <c r="C24" s="5" t="s">
        <v>578</v>
      </c>
      <c r="D24" s="5" t="s">
        <v>282</v>
      </c>
      <c r="E24" s="5" t="s">
        <v>576</v>
      </c>
    </row>
    <row r="25" spans="1:5" ht="16" x14ac:dyDescent="0.2">
      <c r="A25" s="5" t="s">
        <v>59</v>
      </c>
      <c r="B25" s="5" t="s">
        <v>986</v>
      </c>
      <c r="C25" s="5" t="s">
        <v>582</v>
      </c>
      <c r="D25" s="5" t="s">
        <v>92</v>
      </c>
      <c r="E25" s="5" t="s">
        <v>581</v>
      </c>
    </row>
    <row r="26" spans="1:5" ht="16" x14ac:dyDescent="0.2">
      <c r="A26" s="5" t="s">
        <v>59</v>
      </c>
      <c r="B26" s="5" t="s">
        <v>987</v>
      </c>
      <c r="C26" s="5" t="s">
        <v>585</v>
      </c>
      <c r="D26" s="5" t="s">
        <v>92</v>
      </c>
      <c r="E26" s="5" t="s">
        <v>584</v>
      </c>
    </row>
    <row r="27" spans="1:5" ht="16" x14ac:dyDescent="0.2">
      <c r="A27" s="5" t="s">
        <v>59</v>
      </c>
      <c r="B27" s="5" t="s">
        <v>988</v>
      </c>
      <c r="C27" s="5" t="s">
        <v>588</v>
      </c>
      <c r="D27" s="5" t="s">
        <v>135</v>
      </c>
      <c r="E27" s="5" t="s">
        <v>586</v>
      </c>
    </row>
    <row r="28" spans="1:5" ht="16" x14ac:dyDescent="0.2">
      <c r="A28" s="5" t="s">
        <v>59</v>
      </c>
      <c r="B28" s="5" t="s">
        <v>989</v>
      </c>
      <c r="C28" s="5" t="s">
        <v>592</v>
      </c>
      <c r="D28" s="5" t="s">
        <v>135</v>
      </c>
      <c r="E28" s="5" t="s">
        <v>591</v>
      </c>
    </row>
    <row r="29" spans="1:5" ht="16" x14ac:dyDescent="0.2">
      <c r="A29" s="5" t="s">
        <v>59</v>
      </c>
      <c r="B29" s="5" t="s">
        <v>990</v>
      </c>
      <c r="C29" s="5" t="s">
        <v>597</v>
      </c>
      <c r="D29" s="5" t="s">
        <v>172</v>
      </c>
      <c r="E29" s="5" t="s">
        <v>595</v>
      </c>
    </row>
    <row r="30" spans="1:5" ht="16" x14ac:dyDescent="0.2">
      <c r="A30" s="5" t="s">
        <v>59</v>
      </c>
      <c r="B30" s="5" t="s">
        <v>991</v>
      </c>
      <c r="C30" s="5" t="s">
        <v>601</v>
      </c>
      <c r="D30" s="5" t="s">
        <v>603</v>
      </c>
      <c r="E30" s="5" t="s">
        <v>600</v>
      </c>
    </row>
    <row r="31" spans="1:5" ht="16" x14ac:dyDescent="0.2">
      <c r="A31" s="5" t="s">
        <v>59</v>
      </c>
      <c r="B31" s="5" t="s">
        <v>992</v>
      </c>
      <c r="C31" s="5" t="s">
        <v>220</v>
      </c>
      <c r="D31" s="5" t="s">
        <v>607</v>
      </c>
      <c r="E31" s="5" t="s">
        <v>605</v>
      </c>
    </row>
    <row r="32" spans="1:5" ht="16" x14ac:dyDescent="0.2">
      <c r="A32" s="5" t="s">
        <v>59</v>
      </c>
      <c r="B32" s="5" t="s">
        <v>993</v>
      </c>
      <c r="C32" s="5" t="s">
        <v>225</v>
      </c>
      <c r="D32" s="5" t="s">
        <v>224</v>
      </c>
      <c r="E32" s="5" t="s">
        <v>609</v>
      </c>
    </row>
    <row r="33" spans="1:5" ht="16" x14ac:dyDescent="0.2">
      <c r="A33" s="5" t="s">
        <v>59</v>
      </c>
      <c r="B33" s="5" t="s">
        <v>994</v>
      </c>
      <c r="C33" s="5" t="s">
        <v>230</v>
      </c>
      <c r="D33" s="5" t="s">
        <v>229</v>
      </c>
      <c r="E33" s="5" t="s">
        <v>612</v>
      </c>
    </row>
    <row r="34" spans="1:5" ht="16" x14ac:dyDescent="0.2">
      <c r="A34" s="5" t="s">
        <v>59</v>
      </c>
      <c r="B34" s="5" t="s">
        <v>995</v>
      </c>
      <c r="C34" s="5" t="s">
        <v>616</v>
      </c>
      <c r="D34" s="5" t="s">
        <v>266</v>
      </c>
      <c r="E34" s="5" t="s">
        <v>615</v>
      </c>
    </row>
    <row r="35" spans="1:5" ht="16" x14ac:dyDescent="0.2">
      <c r="A35" s="5" t="s">
        <v>59</v>
      </c>
      <c r="B35" s="5" t="s">
        <v>946</v>
      </c>
      <c r="C35" s="5" t="s">
        <v>620</v>
      </c>
      <c r="D35" s="5" t="s">
        <v>250</v>
      </c>
      <c r="E35" s="5" t="s">
        <v>619</v>
      </c>
    </row>
    <row r="36" spans="1:5" ht="16" x14ac:dyDescent="0.2">
      <c r="A36" s="5" t="s">
        <v>59</v>
      </c>
      <c r="B36" s="5" t="s">
        <v>949</v>
      </c>
      <c r="C36" s="5" t="s">
        <v>625</v>
      </c>
      <c r="D36" s="5" t="s">
        <v>271</v>
      </c>
      <c r="E36" s="5" t="s">
        <v>623</v>
      </c>
    </row>
    <row r="37" spans="1:5" ht="16" x14ac:dyDescent="0.2">
      <c r="A37" s="5" t="s">
        <v>59</v>
      </c>
      <c r="B37" s="5" t="s">
        <v>952</v>
      </c>
      <c r="C37" s="5" t="s">
        <v>629</v>
      </c>
      <c r="D37" s="5" t="s">
        <v>291</v>
      </c>
      <c r="E37" s="5" t="s">
        <v>628</v>
      </c>
    </row>
    <row r="38" spans="1:5" ht="16" x14ac:dyDescent="0.2">
      <c r="A38" s="5" t="s">
        <v>80</v>
      </c>
      <c r="B38" s="5" t="s">
        <v>1040</v>
      </c>
      <c r="C38" s="5" t="s">
        <v>634</v>
      </c>
      <c r="D38" s="5" t="s">
        <v>96</v>
      </c>
      <c r="E38" s="5" t="s">
        <v>632</v>
      </c>
    </row>
    <row r="39" spans="1:5" ht="16" x14ac:dyDescent="0.2">
      <c r="A39" s="5" t="s">
        <v>80</v>
      </c>
      <c r="B39" s="5" t="s">
        <v>189</v>
      </c>
      <c r="C39" s="5" t="s">
        <v>636</v>
      </c>
      <c r="D39" s="5" t="s">
        <v>184</v>
      </c>
      <c r="E39" s="5" t="s">
        <v>635</v>
      </c>
    </row>
    <row r="40" spans="1:5" ht="16" x14ac:dyDescent="0.2">
      <c r="A40" s="5" t="s">
        <v>80</v>
      </c>
      <c r="B40" s="5" t="s">
        <v>124</v>
      </c>
      <c r="C40" s="5" t="s">
        <v>640</v>
      </c>
      <c r="D40" s="5" t="s">
        <v>117</v>
      </c>
      <c r="E40" s="5" t="s">
        <v>639</v>
      </c>
    </row>
    <row r="41" spans="1:5" ht="16" x14ac:dyDescent="0.2">
      <c r="A41" s="5" t="s">
        <v>80</v>
      </c>
      <c r="B41" s="5" t="s">
        <v>644</v>
      </c>
      <c r="C41" s="5" t="s">
        <v>645</v>
      </c>
      <c r="D41" s="5" t="s">
        <v>234</v>
      </c>
      <c r="E41" s="5" t="s">
        <v>643</v>
      </c>
    </row>
    <row r="42" spans="1:5" ht="16" x14ac:dyDescent="0.2">
      <c r="A42" s="5" t="s">
        <v>339</v>
      </c>
      <c r="B42" s="5" t="s">
        <v>996</v>
      </c>
      <c r="C42" s="5" t="s">
        <v>650</v>
      </c>
      <c r="D42" s="5" t="s">
        <v>341</v>
      </c>
      <c r="E42" s="5" t="s">
        <v>648</v>
      </c>
    </row>
    <row r="43" spans="1:5" ht="16" x14ac:dyDescent="0.2">
      <c r="A43" s="5" t="s">
        <v>339</v>
      </c>
      <c r="B43" s="5" t="s">
        <v>356</v>
      </c>
      <c r="C43" s="5" t="s">
        <v>655</v>
      </c>
      <c r="D43" s="5" t="s">
        <v>351</v>
      </c>
      <c r="E43" s="5" t="s">
        <v>653</v>
      </c>
    </row>
    <row r="44" spans="1:5" ht="16" x14ac:dyDescent="0.2">
      <c r="A44" s="5" t="s">
        <v>80</v>
      </c>
      <c r="B44" s="5" t="s">
        <v>81</v>
      </c>
      <c r="C44" s="5" t="s">
        <v>1032</v>
      </c>
      <c r="D44" s="5" t="s">
        <v>75</v>
      </c>
      <c r="E44" s="5" t="s">
        <v>1030</v>
      </c>
    </row>
    <row r="45" spans="1:5" ht="16" x14ac:dyDescent="0.2">
      <c r="A45" s="5" t="s">
        <v>80</v>
      </c>
      <c r="B45" s="5" t="s">
        <v>1039</v>
      </c>
      <c r="C45" s="5" t="s">
        <v>1036</v>
      </c>
      <c r="D45" s="5" t="s">
        <v>82</v>
      </c>
      <c r="E45" s="5" t="s">
        <v>1035</v>
      </c>
    </row>
    <row r="46" spans="1:5" ht="16" x14ac:dyDescent="0.2">
      <c r="A46" s="5" t="s">
        <v>80</v>
      </c>
      <c r="B46" s="5" t="s">
        <v>1044</v>
      </c>
      <c r="C46" s="5" t="s">
        <v>1045</v>
      </c>
      <c r="D46" s="5" t="s">
        <v>102</v>
      </c>
      <c r="E46" s="5" t="s">
        <v>1043</v>
      </c>
    </row>
  </sheetData>
  <autoFilter ref="A1:E46" xr:uid="{00000000-0009-0000-0000-000007000000}"/>
  <pageMargins left="0.75" right="0.75" top="1" bottom="1" header="0.5" footer="0.5"/>
  <pageSetup fitToHeight="0"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G14"/>
  <sheetViews>
    <sheetView showGridLines="0" workbookViewId="0">
      <pane ySplit="1" topLeftCell="A2" activePane="bottomLeft" state="frozen"/>
      <selection pane="bottomLeft"/>
    </sheetView>
  </sheetViews>
  <sheetFormatPr baseColWidth="10" defaultColWidth="8.83203125" defaultRowHeight="15" x14ac:dyDescent="0.2"/>
  <cols>
    <col min="1" max="1" width="10" customWidth="1"/>
    <col min="2" max="2" width="28" customWidth="1"/>
    <col min="3" max="3" width="34" customWidth="1"/>
    <col min="4" max="4" width="24" customWidth="1"/>
    <col min="5" max="5" width="45" customWidth="1"/>
    <col min="6" max="6" width="32" customWidth="1"/>
    <col min="7" max="7" width="22" customWidth="1"/>
  </cols>
  <sheetData>
    <row r="1" spans="1:7" ht="16" x14ac:dyDescent="0.2">
      <c r="A1" s="4" t="s">
        <v>663</v>
      </c>
      <c r="B1" s="4" t="s">
        <v>664</v>
      </c>
      <c r="C1" s="4" t="s">
        <v>660</v>
      </c>
      <c r="D1" s="4" t="s">
        <v>665</v>
      </c>
      <c r="E1" s="4" t="s">
        <v>666</v>
      </c>
      <c r="F1" s="4" t="s">
        <v>667</v>
      </c>
      <c r="G1" s="4" t="s">
        <v>668</v>
      </c>
    </row>
    <row r="2" spans="1:7" ht="32" x14ac:dyDescent="0.2">
      <c r="A2" s="5" t="s">
        <v>669</v>
      </c>
      <c r="B2" s="5" t="s">
        <v>670</v>
      </c>
      <c r="C2" s="5" t="s">
        <v>671</v>
      </c>
      <c r="D2" s="5" t="s">
        <v>672</v>
      </c>
      <c r="E2" s="5" t="s">
        <v>673</v>
      </c>
      <c r="F2" s="5" t="s">
        <v>674</v>
      </c>
      <c r="G2" s="5" t="s">
        <v>675</v>
      </c>
    </row>
    <row r="3" spans="1:7" ht="16" x14ac:dyDescent="0.2">
      <c r="A3" s="5" t="s">
        <v>669</v>
      </c>
      <c r="B3" s="5" t="s">
        <v>676</v>
      </c>
      <c r="C3" s="5" t="s">
        <v>677</v>
      </c>
      <c r="D3" s="5" t="s">
        <v>672</v>
      </c>
      <c r="E3" s="5" t="s">
        <v>678</v>
      </c>
      <c r="F3" s="5" t="s">
        <v>674</v>
      </c>
      <c r="G3" s="5" t="s">
        <v>679</v>
      </c>
    </row>
    <row r="4" spans="1:7" ht="16" x14ac:dyDescent="0.2">
      <c r="A4" s="5" t="s">
        <v>680</v>
      </c>
      <c r="B4" s="5" t="s">
        <v>681</v>
      </c>
      <c r="C4" s="5" t="s">
        <v>682</v>
      </c>
      <c r="D4" s="5" t="s">
        <v>683</v>
      </c>
      <c r="E4" s="5" t="s">
        <v>684</v>
      </c>
      <c r="F4" s="5" t="s">
        <v>685</v>
      </c>
      <c r="G4" s="5" t="s">
        <v>686</v>
      </c>
    </row>
    <row r="5" spans="1:7" ht="16" x14ac:dyDescent="0.2">
      <c r="A5" s="5" t="s">
        <v>669</v>
      </c>
      <c r="B5" s="5" t="s">
        <v>687</v>
      </c>
      <c r="C5" s="5" t="s">
        <v>688</v>
      </c>
      <c r="D5" s="5" t="s">
        <v>683</v>
      </c>
      <c r="E5" s="5" t="s">
        <v>689</v>
      </c>
      <c r="F5" s="5" t="s">
        <v>690</v>
      </c>
      <c r="G5" s="5" t="s">
        <v>152</v>
      </c>
    </row>
    <row r="6" spans="1:7" ht="16" x14ac:dyDescent="0.2">
      <c r="A6" s="5" t="s">
        <v>669</v>
      </c>
      <c r="B6" s="5" t="s">
        <v>691</v>
      </c>
      <c r="C6" s="5" t="s">
        <v>692</v>
      </c>
      <c r="D6" s="5" t="s">
        <v>693</v>
      </c>
      <c r="E6" s="5" t="s">
        <v>694</v>
      </c>
      <c r="F6" s="5" t="s">
        <v>695</v>
      </c>
      <c r="G6" s="5" t="s">
        <v>157</v>
      </c>
    </row>
    <row r="7" spans="1:7" ht="16" x14ac:dyDescent="0.2">
      <c r="A7" s="5" t="s">
        <v>680</v>
      </c>
      <c r="B7" s="5" t="s">
        <v>696</v>
      </c>
      <c r="C7" s="5" t="s">
        <v>697</v>
      </c>
      <c r="D7" s="5" t="s">
        <v>698</v>
      </c>
      <c r="E7" s="5" t="s">
        <v>699</v>
      </c>
      <c r="F7" s="5" t="s">
        <v>700</v>
      </c>
      <c r="G7" s="5" t="s">
        <v>701</v>
      </c>
    </row>
    <row r="8" spans="1:7" ht="16" x14ac:dyDescent="0.2">
      <c r="A8" s="5" t="s">
        <v>669</v>
      </c>
      <c r="B8" s="5" t="s">
        <v>696</v>
      </c>
      <c r="C8" s="5" t="s">
        <v>702</v>
      </c>
      <c r="D8" s="5" t="s">
        <v>703</v>
      </c>
      <c r="E8" s="5" t="s">
        <v>704</v>
      </c>
      <c r="F8" s="5" t="s">
        <v>705</v>
      </c>
      <c r="G8" s="5" t="s">
        <v>706</v>
      </c>
    </row>
    <row r="9" spans="1:7" ht="16" x14ac:dyDescent="0.2">
      <c r="A9" s="5" t="s">
        <v>680</v>
      </c>
      <c r="B9" s="5" t="s">
        <v>707</v>
      </c>
      <c r="C9" s="5" t="s">
        <v>708</v>
      </c>
      <c r="D9" s="5" t="s">
        <v>709</v>
      </c>
      <c r="E9" s="5" t="s">
        <v>710</v>
      </c>
      <c r="F9" s="5" t="s">
        <v>711</v>
      </c>
      <c r="G9" s="5" t="s">
        <v>712</v>
      </c>
    </row>
    <row r="10" spans="1:7" ht="16" x14ac:dyDescent="0.2">
      <c r="A10" s="5" t="s">
        <v>713</v>
      </c>
      <c r="B10" s="5" t="s">
        <v>714</v>
      </c>
      <c r="C10" s="5" t="s">
        <v>715</v>
      </c>
      <c r="D10" s="5" t="s">
        <v>716</v>
      </c>
      <c r="E10" s="5" t="s">
        <v>717</v>
      </c>
      <c r="F10" s="5" t="s">
        <v>718</v>
      </c>
      <c r="G10" s="5" t="s">
        <v>719</v>
      </c>
    </row>
    <row r="11" spans="1:7" ht="16" x14ac:dyDescent="0.2">
      <c r="A11" s="5" t="s">
        <v>669</v>
      </c>
      <c r="B11" s="5" t="s">
        <v>720</v>
      </c>
      <c r="C11" s="5" t="s">
        <v>721</v>
      </c>
      <c r="D11" s="5" t="s">
        <v>722</v>
      </c>
      <c r="E11" s="5" t="s">
        <v>723</v>
      </c>
      <c r="F11" s="5" t="s">
        <v>724</v>
      </c>
      <c r="G11" s="5" t="s">
        <v>725</v>
      </c>
    </row>
    <row r="12" spans="1:7" ht="16" x14ac:dyDescent="0.2">
      <c r="A12" s="5" t="s">
        <v>669</v>
      </c>
      <c r="B12" s="5" t="s">
        <v>726</v>
      </c>
      <c r="C12" s="5" t="s">
        <v>727</v>
      </c>
      <c r="D12" s="5" t="s">
        <v>709</v>
      </c>
      <c r="E12" s="5" t="s">
        <v>728</v>
      </c>
      <c r="F12" s="5" t="s">
        <v>729</v>
      </c>
      <c r="G12" s="5" t="s">
        <v>730</v>
      </c>
    </row>
    <row r="13" spans="1:7" ht="16" x14ac:dyDescent="0.2">
      <c r="A13" s="5" t="s">
        <v>680</v>
      </c>
      <c r="B13" s="5" t="s">
        <v>731</v>
      </c>
      <c r="C13" s="5" t="s">
        <v>732</v>
      </c>
      <c r="D13" s="5" t="s">
        <v>722</v>
      </c>
      <c r="E13" s="5" t="s">
        <v>733</v>
      </c>
      <c r="F13" s="5" t="s">
        <v>734</v>
      </c>
      <c r="G13" s="5" t="s">
        <v>735</v>
      </c>
    </row>
    <row r="14" spans="1:7" ht="16" x14ac:dyDescent="0.2">
      <c r="A14" s="5" t="s">
        <v>713</v>
      </c>
      <c r="B14" s="5" t="s">
        <v>736</v>
      </c>
      <c r="C14" s="5" t="s">
        <v>737</v>
      </c>
      <c r="D14" s="5" t="s">
        <v>722</v>
      </c>
      <c r="E14" s="5" t="s">
        <v>738</v>
      </c>
      <c r="F14" s="5" t="s">
        <v>739</v>
      </c>
      <c r="G14" s="5" t="s">
        <v>735</v>
      </c>
    </row>
  </sheetData>
  <autoFilter ref="A1:G14" xr:uid="{00000000-0009-0000-0000-000008000000}"/>
  <pageMargins left="0.75" right="0.75" top="1" bottom="1" header="0.5" footer="0.5"/>
  <pageSetup fitToHeight="0"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12"/>
  <sheetViews>
    <sheetView showGridLines="0" workbookViewId="0">
      <pane ySplit="1" topLeftCell="A2" activePane="bottomLeft" state="frozen"/>
      <selection pane="bottomLeft"/>
    </sheetView>
  </sheetViews>
  <sheetFormatPr baseColWidth="10" defaultColWidth="8.83203125" defaultRowHeight="15" x14ac:dyDescent="0.2"/>
  <cols>
    <col min="1" max="1" width="24" customWidth="1"/>
    <col min="2" max="2" width="34" customWidth="1"/>
    <col min="3" max="4" width="45" customWidth="1"/>
    <col min="5" max="5" width="32" customWidth="1"/>
    <col min="6" max="6" width="22" customWidth="1"/>
  </cols>
  <sheetData>
    <row r="1" spans="1:6" ht="16" x14ac:dyDescent="0.2">
      <c r="A1" s="4" t="s">
        <v>740</v>
      </c>
      <c r="B1" s="4" t="s">
        <v>660</v>
      </c>
      <c r="C1" s="4" t="s">
        <v>741</v>
      </c>
      <c r="D1" s="4" t="s">
        <v>742</v>
      </c>
      <c r="E1" s="4" t="s">
        <v>743</v>
      </c>
      <c r="F1" s="4" t="s">
        <v>668</v>
      </c>
    </row>
    <row r="2" spans="1:6" ht="32" x14ac:dyDescent="0.2">
      <c r="A2" s="5" t="s">
        <v>521</v>
      </c>
      <c r="B2" s="5" t="s">
        <v>744</v>
      </c>
      <c r="C2" s="5" t="s">
        <v>745</v>
      </c>
      <c r="D2" s="5" t="s">
        <v>746</v>
      </c>
      <c r="E2" s="5" t="s">
        <v>747</v>
      </c>
      <c r="F2" s="5" t="s">
        <v>748</v>
      </c>
    </row>
    <row r="3" spans="1:6" ht="32" x14ac:dyDescent="0.2">
      <c r="A3" s="5" t="s">
        <v>749</v>
      </c>
      <c r="B3" s="5" t="s">
        <v>750</v>
      </c>
      <c r="C3" s="5" t="s">
        <v>751</v>
      </c>
      <c r="D3" s="5" t="s">
        <v>752</v>
      </c>
      <c r="E3" s="5" t="s">
        <v>747</v>
      </c>
      <c r="F3" s="5" t="s">
        <v>753</v>
      </c>
    </row>
    <row r="4" spans="1:6" ht="32" x14ac:dyDescent="0.2">
      <c r="A4" s="5" t="s">
        <v>754</v>
      </c>
      <c r="B4" s="5" t="s">
        <v>755</v>
      </c>
      <c r="C4" s="5" t="s">
        <v>756</v>
      </c>
      <c r="D4" s="5" t="s">
        <v>757</v>
      </c>
      <c r="E4" s="5" t="s">
        <v>747</v>
      </c>
      <c r="F4" s="5" t="s">
        <v>758</v>
      </c>
    </row>
    <row r="5" spans="1:6" ht="32" x14ac:dyDescent="0.2">
      <c r="A5" s="5" t="s">
        <v>759</v>
      </c>
      <c r="B5" s="5" t="s">
        <v>760</v>
      </c>
      <c r="C5" s="5" t="s">
        <v>761</v>
      </c>
      <c r="D5" s="5" t="s">
        <v>757</v>
      </c>
      <c r="E5" s="5" t="s">
        <v>747</v>
      </c>
      <c r="F5" s="5" t="s">
        <v>112</v>
      </c>
    </row>
    <row r="6" spans="1:6" ht="32" x14ac:dyDescent="0.2">
      <c r="A6" s="5" t="s">
        <v>535</v>
      </c>
      <c r="B6" s="5" t="s">
        <v>762</v>
      </c>
      <c r="C6" s="5" t="s">
        <v>763</v>
      </c>
      <c r="D6" s="5" t="s">
        <v>764</v>
      </c>
      <c r="E6" s="5" t="s">
        <v>747</v>
      </c>
      <c r="F6" s="5" t="s">
        <v>765</v>
      </c>
    </row>
    <row r="7" spans="1:6" ht="32" x14ac:dyDescent="0.2">
      <c r="A7" s="5" t="s">
        <v>545</v>
      </c>
      <c r="B7" s="5" t="s">
        <v>766</v>
      </c>
      <c r="C7" s="5" t="s">
        <v>767</v>
      </c>
      <c r="D7" s="5" t="s">
        <v>768</v>
      </c>
      <c r="E7" s="5" t="s">
        <v>747</v>
      </c>
      <c r="F7" s="5" t="s">
        <v>769</v>
      </c>
    </row>
    <row r="8" spans="1:6" ht="16" x14ac:dyDescent="0.2">
      <c r="A8" s="5" t="s">
        <v>770</v>
      </c>
      <c r="B8" s="5" t="s">
        <v>771</v>
      </c>
      <c r="C8" s="5" t="s">
        <v>772</v>
      </c>
      <c r="D8" s="5" t="s">
        <v>773</v>
      </c>
      <c r="E8" s="5" t="s">
        <v>774</v>
      </c>
      <c r="F8" s="5" t="s">
        <v>775</v>
      </c>
    </row>
    <row r="9" spans="1:6" ht="32" x14ac:dyDescent="0.2">
      <c r="A9" s="5" t="s">
        <v>776</v>
      </c>
      <c r="B9" s="5" t="s">
        <v>777</v>
      </c>
      <c r="C9" s="5" t="s">
        <v>778</v>
      </c>
      <c r="D9" s="5" t="s">
        <v>779</v>
      </c>
      <c r="E9" s="5" t="s">
        <v>747</v>
      </c>
      <c r="F9" s="5" t="s">
        <v>246</v>
      </c>
    </row>
    <row r="10" spans="1:6" ht="32" x14ac:dyDescent="0.2">
      <c r="A10" s="5" t="s">
        <v>780</v>
      </c>
      <c r="B10" s="5" t="s">
        <v>781</v>
      </c>
      <c r="C10" s="5" t="s">
        <v>782</v>
      </c>
      <c r="D10" s="5" t="s">
        <v>783</v>
      </c>
      <c r="E10" s="5" t="s">
        <v>747</v>
      </c>
      <c r="F10" s="5" t="s">
        <v>784</v>
      </c>
    </row>
    <row r="11" spans="1:6" ht="16" x14ac:dyDescent="0.2">
      <c r="A11" s="5" t="s">
        <v>577</v>
      </c>
      <c r="B11" s="5" t="s">
        <v>785</v>
      </c>
      <c r="C11" s="5" t="s">
        <v>786</v>
      </c>
      <c r="D11" s="5" t="s">
        <v>787</v>
      </c>
      <c r="E11" s="5" t="s">
        <v>788</v>
      </c>
      <c r="F11" s="5" t="s">
        <v>789</v>
      </c>
    </row>
    <row r="12" spans="1:6" ht="16" x14ac:dyDescent="0.2">
      <c r="A12" s="5" t="s">
        <v>790</v>
      </c>
      <c r="B12" s="5" t="s">
        <v>791</v>
      </c>
      <c r="C12" s="5" t="s">
        <v>792</v>
      </c>
      <c r="D12" s="5" t="s">
        <v>793</v>
      </c>
      <c r="E12" s="5" t="s">
        <v>774</v>
      </c>
      <c r="F12" s="5" t="s">
        <v>323</v>
      </c>
    </row>
  </sheetData>
  <autoFilter ref="A1:F12" xr:uid="{00000000-0009-0000-0000-000009000000}"/>
  <pageMargins left="0.75" right="0.75" top="1" bottom="1" header="0.5" footer="0.5"/>
  <pageSetup fitToHeight="0"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H12"/>
  <sheetViews>
    <sheetView showGridLines="0" workbookViewId="0">
      <pane ySplit="1" topLeftCell="A2" activePane="bottomLeft" state="frozen"/>
      <selection pane="bottomLeft"/>
    </sheetView>
  </sheetViews>
  <sheetFormatPr baseColWidth="10" defaultColWidth="8.83203125" defaultRowHeight="15" x14ac:dyDescent="0.2"/>
  <cols>
    <col min="1" max="1" width="12" customWidth="1"/>
    <col min="2" max="2" width="22" customWidth="1"/>
    <col min="3" max="3" width="24" customWidth="1"/>
    <col min="4" max="4" width="20" customWidth="1"/>
    <col min="5" max="6" width="38" customWidth="1"/>
    <col min="7" max="7" width="22" customWidth="1"/>
    <col min="8" max="8" width="14" customWidth="1"/>
  </cols>
  <sheetData>
    <row r="1" spans="1:8" ht="16" x14ac:dyDescent="0.2">
      <c r="A1" s="4" t="s">
        <v>794</v>
      </c>
      <c r="B1" s="4" t="s">
        <v>795</v>
      </c>
      <c r="C1" s="4" t="s">
        <v>796</v>
      </c>
      <c r="D1" s="4" t="s">
        <v>797</v>
      </c>
      <c r="E1" s="4" t="s">
        <v>660</v>
      </c>
      <c r="F1" s="4" t="s">
        <v>798</v>
      </c>
      <c r="G1" s="4" t="s">
        <v>668</v>
      </c>
      <c r="H1" s="4" t="s">
        <v>22</v>
      </c>
    </row>
    <row r="2" spans="1:8" ht="16" x14ac:dyDescent="0.2">
      <c r="A2" s="5" t="s">
        <v>799</v>
      </c>
      <c r="B2" s="5" t="s">
        <v>800</v>
      </c>
      <c r="C2" s="5" t="s">
        <v>801</v>
      </c>
      <c r="D2" s="5" t="s">
        <v>802</v>
      </c>
      <c r="E2" s="5" t="s">
        <v>803</v>
      </c>
      <c r="F2" s="5" t="s">
        <v>804</v>
      </c>
      <c r="G2" s="5" t="s">
        <v>583</v>
      </c>
      <c r="H2" s="5" t="s">
        <v>25</v>
      </c>
    </row>
    <row r="3" spans="1:8" ht="16" x14ac:dyDescent="0.2">
      <c r="A3" s="5" t="s">
        <v>805</v>
      </c>
      <c r="B3" s="5" t="s">
        <v>806</v>
      </c>
      <c r="C3" s="5" t="s">
        <v>807</v>
      </c>
      <c r="D3" s="5" t="s">
        <v>802</v>
      </c>
      <c r="E3" s="5" t="s">
        <v>808</v>
      </c>
      <c r="F3" s="5" t="s">
        <v>809</v>
      </c>
      <c r="G3" s="5" t="s">
        <v>583</v>
      </c>
      <c r="H3" s="5" t="s">
        <v>25</v>
      </c>
    </row>
    <row r="4" spans="1:8" ht="16" x14ac:dyDescent="0.2">
      <c r="A4" s="5" t="s">
        <v>810</v>
      </c>
      <c r="B4" s="5" t="s">
        <v>297</v>
      </c>
      <c r="C4" s="5" t="s">
        <v>811</v>
      </c>
      <c r="D4" s="5" t="s">
        <v>812</v>
      </c>
      <c r="E4" s="5" t="s">
        <v>813</v>
      </c>
      <c r="F4" s="5" t="s">
        <v>814</v>
      </c>
      <c r="G4" s="5" t="s">
        <v>296</v>
      </c>
      <c r="H4" s="5" t="s">
        <v>25</v>
      </c>
    </row>
    <row r="5" spans="1:8" ht="16" x14ac:dyDescent="0.2">
      <c r="A5" s="5" t="s">
        <v>815</v>
      </c>
      <c r="B5" s="5" t="s">
        <v>816</v>
      </c>
      <c r="C5" s="5" t="s">
        <v>817</v>
      </c>
      <c r="D5" s="5" t="s">
        <v>818</v>
      </c>
      <c r="E5" s="5" t="s">
        <v>819</v>
      </c>
      <c r="F5" s="5" t="s">
        <v>820</v>
      </c>
      <c r="G5" s="5" t="s">
        <v>302</v>
      </c>
      <c r="H5" s="5" t="s">
        <v>25</v>
      </c>
    </row>
    <row r="6" spans="1:8" ht="16" x14ac:dyDescent="0.2">
      <c r="A6" s="5" t="s">
        <v>821</v>
      </c>
      <c r="B6" s="5" t="s">
        <v>822</v>
      </c>
      <c r="C6" s="5" t="s">
        <v>696</v>
      </c>
      <c r="D6" s="5" t="s">
        <v>812</v>
      </c>
      <c r="E6" s="5" t="s">
        <v>823</v>
      </c>
      <c r="F6" s="5" t="s">
        <v>824</v>
      </c>
      <c r="G6" s="5" t="s">
        <v>607</v>
      </c>
      <c r="H6" s="5" t="s">
        <v>25</v>
      </c>
    </row>
    <row r="7" spans="1:8" ht="16" x14ac:dyDescent="0.2">
      <c r="A7" s="5" t="s">
        <v>825</v>
      </c>
      <c r="B7" s="5" t="s">
        <v>826</v>
      </c>
      <c r="C7" s="5" t="s">
        <v>827</v>
      </c>
      <c r="D7" s="5" t="s">
        <v>812</v>
      </c>
      <c r="E7" s="5" t="s">
        <v>828</v>
      </c>
      <c r="F7" s="5" t="s">
        <v>829</v>
      </c>
      <c r="G7" s="5" t="s">
        <v>830</v>
      </c>
      <c r="H7" s="5" t="s">
        <v>25</v>
      </c>
    </row>
    <row r="8" spans="1:8" ht="16" x14ac:dyDescent="0.2">
      <c r="A8" s="5" t="s">
        <v>831</v>
      </c>
      <c r="B8" s="5" t="s">
        <v>832</v>
      </c>
      <c r="C8" s="5" t="s">
        <v>833</v>
      </c>
      <c r="D8" s="5" t="s">
        <v>834</v>
      </c>
      <c r="E8" s="5" t="s">
        <v>835</v>
      </c>
      <c r="F8" s="5" t="s">
        <v>836</v>
      </c>
      <c r="G8" s="5" t="s">
        <v>837</v>
      </c>
      <c r="H8" s="5" t="s">
        <v>25</v>
      </c>
    </row>
    <row r="9" spans="1:8" ht="16" x14ac:dyDescent="0.2">
      <c r="A9" s="5" t="s">
        <v>838</v>
      </c>
      <c r="B9" s="5" t="s">
        <v>839</v>
      </c>
      <c r="C9" s="5" t="s">
        <v>840</v>
      </c>
      <c r="D9" s="5" t="s">
        <v>818</v>
      </c>
      <c r="E9" s="5" t="s">
        <v>841</v>
      </c>
      <c r="F9" s="5" t="s">
        <v>842</v>
      </c>
      <c r="G9" s="5" t="s">
        <v>271</v>
      </c>
      <c r="H9" s="5" t="s">
        <v>25</v>
      </c>
    </row>
    <row r="10" spans="1:8" ht="16" x14ac:dyDescent="0.2">
      <c r="A10" s="5" t="s">
        <v>843</v>
      </c>
      <c r="B10" s="5" t="s">
        <v>844</v>
      </c>
      <c r="C10" s="5" t="s">
        <v>681</v>
      </c>
      <c r="D10" s="5" t="s">
        <v>683</v>
      </c>
      <c r="E10" s="5" t="s">
        <v>845</v>
      </c>
      <c r="F10" s="5" t="s">
        <v>846</v>
      </c>
      <c r="G10" s="5" t="s">
        <v>166</v>
      </c>
      <c r="H10" s="5" t="s">
        <v>25</v>
      </c>
    </row>
    <row r="11" spans="1:8" ht="16" x14ac:dyDescent="0.2">
      <c r="A11" s="5" t="s">
        <v>847</v>
      </c>
      <c r="B11" s="5" t="s">
        <v>848</v>
      </c>
      <c r="C11" s="5" t="s">
        <v>849</v>
      </c>
      <c r="D11" s="5" t="s">
        <v>683</v>
      </c>
      <c r="E11" s="5" t="s">
        <v>850</v>
      </c>
      <c r="F11" s="5" t="s">
        <v>851</v>
      </c>
      <c r="G11" s="5" t="s">
        <v>177</v>
      </c>
      <c r="H11" s="5" t="s">
        <v>25</v>
      </c>
    </row>
    <row r="12" spans="1:8" ht="16" x14ac:dyDescent="0.2">
      <c r="A12" s="5" t="s">
        <v>852</v>
      </c>
      <c r="B12" s="5" t="s">
        <v>853</v>
      </c>
      <c r="C12" s="5" t="s">
        <v>854</v>
      </c>
      <c r="D12" s="5" t="s">
        <v>802</v>
      </c>
      <c r="E12" s="5" t="s">
        <v>855</v>
      </c>
      <c r="F12" s="5" t="s">
        <v>856</v>
      </c>
      <c r="G12" s="5" t="s">
        <v>291</v>
      </c>
      <c r="H12" s="5" t="s">
        <v>25</v>
      </c>
    </row>
  </sheetData>
  <autoFilter ref="A1:H12" xr:uid="{00000000-0009-0000-0000-00000A000000}"/>
  <conditionalFormatting sqref="H2:H12">
    <cfRule type="expression" dxfId="9" priority="1">
      <formula>$H2="Done"</formula>
    </cfRule>
    <cfRule type="expression" dxfId="8" priority="2">
      <formula>$H2="In Progress"</formula>
    </cfRule>
    <cfRule type="expression" dxfId="7" priority="3">
      <formula>$H2="Blocked"</formula>
    </cfRule>
    <cfRule type="expression" dxfId="6" priority="4">
      <formula>$H2="Review"</formula>
    </cfRule>
    <cfRule type="expression" dxfId="5" priority="5">
      <formula>$H2="Todo"</formula>
    </cfRule>
  </conditionalFormatting>
  <dataValidations count="1">
    <dataValidation type="list" allowBlank="1" sqref="H2:H12" xr:uid="{00000000-0002-0000-0A00-000000000000}">
      <formula1>"Todo,In Progress,Blocked,Review,Done"</formula1>
    </dataValidation>
  </dataValidations>
  <pageMargins left="0.75" right="0.75" top="1" bottom="1" header="0.5" footer="0.5"/>
  <pageSetup fitToHeight="0"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G7"/>
  <sheetViews>
    <sheetView showGridLines="0" workbookViewId="0">
      <pane ySplit="1" topLeftCell="A2" activePane="bottomLeft" state="frozen"/>
      <selection pane="bottomLeft"/>
    </sheetView>
  </sheetViews>
  <sheetFormatPr baseColWidth="10" defaultColWidth="8.83203125" defaultRowHeight="15" x14ac:dyDescent="0.2"/>
  <cols>
    <col min="1" max="1" width="10" customWidth="1"/>
    <col min="2" max="2" width="12" customWidth="1"/>
    <col min="3" max="3" width="42" customWidth="1"/>
    <col min="4" max="4" width="14" customWidth="1"/>
    <col min="5" max="5" width="55" customWidth="1"/>
    <col min="6" max="6" width="16" customWidth="1"/>
    <col min="7" max="7" width="14" customWidth="1"/>
  </cols>
  <sheetData>
    <row r="1" spans="1:7" ht="16" x14ac:dyDescent="0.2">
      <c r="A1" s="4" t="s">
        <v>857</v>
      </c>
      <c r="B1" s="4" t="s">
        <v>858</v>
      </c>
      <c r="C1" s="4" t="s">
        <v>859</v>
      </c>
      <c r="D1" s="4" t="s">
        <v>860</v>
      </c>
      <c r="E1" s="4" t="s">
        <v>861</v>
      </c>
      <c r="F1" s="4" t="s">
        <v>426</v>
      </c>
      <c r="G1" s="4" t="s">
        <v>22</v>
      </c>
    </row>
    <row r="2" spans="1:7" ht="16" x14ac:dyDescent="0.2">
      <c r="A2" s="5" t="s">
        <v>862</v>
      </c>
      <c r="B2" s="5" t="s">
        <v>863</v>
      </c>
      <c r="C2" s="5" t="s">
        <v>864</v>
      </c>
      <c r="D2" s="5" t="s">
        <v>52</v>
      </c>
      <c r="E2" s="5" t="s">
        <v>865</v>
      </c>
      <c r="F2" s="5" t="s">
        <v>122</v>
      </c>
      <c r="G2" s="5" t="s">
        <v>866</v>
      </c>
    </row>
    <row r="3" spans="1:7" ht="32" x14ac:dyDescent="0.2">
      <c r="A3" s="5" t="s">
        <v>867</v>
      </c>
      <c r="B3" s="5" t="s">
        <v>863</v>
      </c>
      <c r="C3" s="5" t="s">
        <v>868</v>
      </c>
      <c r="D3" s="5" t="s">
        <v>67</v>
      </c>
      <c r="E3" s="5" t="s">
        <v>869</v>
      </c>
      <c r="F3" s="5" t="s">
        <v>64</v>
      </c>
      <c r="G3" s="5" t="s">
        <v>866</v>
      </c>
    </row>
    <row r="4" spans="1:7" ht="32" x14ac:dyDescent="0.2">
      <c r="A4" s="5" t="s">
        <v>870</v>
      </c>
      <c r="B4" s="5" t="s">
        <v>863</v>
      </c>
      <c r="C4" s="5" t="s">
        <v>871</v>
      </c>
      <c r="D4" s="5" t="s">
        <v>168</v>
      </c>
      <c r="E4" s="5" t="s">
        <v>872</v>
      </c>
      <c r="F4" s="5" t="s">
        <v>390</v>
      </c>
      <c r="G4" s="5" t="s">
        <v>866</v>
      </c>
    </row>
    <row r="5" spans="1:7" ht="16" x14ac:dyDescent="0.2">
      <c r="A5" s="5" t="s">
        <v>873</v>
      </c>
      <c r="B5" s="5" t="s">
        <v>863</v>
      </c>
      <c r="C5" s="5" t="s">
        <v>874</v>
      </c>
      <c r="D5" s="5" t="s">
        <v>67</v>
      </c>
      <c r="E5" s="5" t="s">
        <v>875</v>
      </c>
      <c r="F5" s="5" t="s">
        <v>390</v>
      </c>
      <c r="G5" s="5" t="s">
        <v>866</v>
      </c>
    </row>
    <row r="6" spans="1:7" ht="16" x14ac:dyDescent="0.2">
      <c r="A6" s="5" t="s">
        <v>876</v>
      </c>
      <c r="B6" s="5" t="s">
        <v>877</v>
      </c>
      <c r="C6" s="5" t="s">
        <v>878</v>
      </c>
      <c r="D6" s="5" t="s">
        <v>67</v>
      </c>
      <c r="E6" s="5" t="s">
        <v>879</v>
      </c>
      <c r="F6" s="5" t="s">
        <v>880</v>
      </c>
      <c r="G6" s="5" t="s">
        <v>881</v>
      </c>
    </row>
    <row r="7" spans="1:7" ht="16" x14ac:dyDescent="0.2">
      <c r="A7" s="5" t="s">
        <v>882</v>
      </c>
      <c r="B7" s="5" t="s">
        <v>877</v>
      </c>
      <c r="C7" s="5" t="s">
        <v>883</v>
      </c>
      <c r="D7" s="5" t="s">
        <v>67</v>
      </c>
      <c r="E7" s="5" t="s">
        <v>884</v>
      </c>
      <c r="F7" s="5" t="s">
        <v>80</v>
      </c>
      <c r="G7" s="5" t="s">
        <v>881</v>
      </c>
    </row>
  </sheetData>
  <autoFilter ref="A1:G7" xr:uid="{00000000-0009-0000-0000-00000B000000}"/>
  <pageMargins left="0.75" right="0.75" top="1" bottom="1" header="0.5" footer="0.5"/>
  <pageSetup fitToHeight="0"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F11"/>
  <sheetViews>
    <sheetView showGridLines="0" workbookViewId="0">
      <pane ySplit="1" topLeftCell="A2" activePane="bottomLeft" state="frozen"/>
      <selection pane="bottomLeft"/>
    </sheetView>
  </sheetViews>
  <sheetFormatPr baseColWidth="10" defaultColWidth="8.83203125" defaultRowHeight="15" x14ac:dyDescent="0.2"/>
  <cols>
    <col min="1" max="1" width="18" customWidth="1"/>
    <col min="2" max="2" width="45" customWidth="1"/>
    <col min="3" max="3" width="18" customWidth="1"/>
    <col min="4" max="4" width="16" customWidth="1"/>
    <col min="5" max="5" width="14" customWidth="1"/>
    <col min="6" max="6" width="32" customWidth="1"/>
  </cols>
  <sheetData>
    <row r="1" spans="1:6" ht="16" x14ac:dyDescent="0.2">
      <c r="A1" s="4" t="s">
        <v>658</v>
      </c>
      <c r="B1" s="4" t="s">
        <v>885</v>
      </c>
      <c r="C1" s="4" t="s">
        <v>886</v>
      </c>
      <c r="D1" s="4" t="s">
        <v>426</v>
      </c>
      <c r="E1" s="4" t="s">
        <v>22</v>
      </c>
      <c r="F1" s="4" t="s">
        <v>887</v>
      </c>
    </row>
    <row r="2" spans="1:6" ht="16" x14ac:dyDescent="0.2">
      <c r="A2" s="5" t="s">
        <v>122</v>
      </c>
      <c r="B2" s="5" t="s">
        <v>888</v>
      </c>
      <c r="C2" s="5" t="s">
        <v>889</v>
      </c>
      <c r="D2" s="5" t="s">
        <v>122</v>
      </c>
      <c r="E2" s="5" t="s">
        <v>25</v>
      </c>
      <c r="F2" s="5"/>
    </row>
    <row r="3" spans="1:6" ht="16" x14ac:dyDescent="0.2">
      <c r="A3" s="5" t="s">
        <v>88</v>
      </c>
      <c r="B3" s="5" t="s">
        <v>890</v>
      </c>
      <c r="C3" s="5" t="s">
        <v>889</v>
      </c>
      <c r="D3" s="5" t="s">
        <v>64</v>
      </c>
      <c r="E3" s="5" t="s">
        <v>25</v>
      </c>
      <c r="F3" s="5"/>
    </row>
    <row r="4" spans="1:6" ht="16" x14ac:dyDescent="0.2">
      <c r="A4" s="5" t="s">
        <v>19</v>
      </c>
      <c r="B4" s="5" t="s">
        <v>891</v>
      </c>
      <c r="C4" s="5" t="s">
        <v>889</v>
      </c>
      <c r="D4" s="5" t="s">
        <v>182</v>
      </c>
      <c r="E4" s="5" t="s">
        <v>25</v>
      </c>
      <c r="F4" s="5"/>
    </row>
    <row r="5" spans="1:6" ht="16" x14ac:dyDescent="0.2">
      <c r="A5" s="5" t="s">
        <v>892</v>
      </c>
      <c r="B5" s="5" t="s">
        <v>893</v>
      </c>
      <c r="C5" s="5" t="s">
        <v>889</v>
      </c>
      <c r="D5" s="5" t="s">
        <v>59</v>
      </c>
      <c r="E5" s="5" t="s">
        <v>25</v>
      </c>
      <c r="F5" s="5"/>
    </row>
    <row r="6" spans="1:6" ht="16" x14ac:dyDescent="0.2">
      <c r="A6" s="5" t="s">
        <v>894</v>
      </c>
      <c r="B6" s="5" t="s">
        <v>895</v>
      </c>
      <c r="C6" s="5" t="s">
        <v>889</v>
      </c>
      <c r="D6" s="5" t="s">
        <v>182</v>
      </c>
      <c r="E6" s="5" t="s">
        <v>25</v>
      </c>
      <c r="F6" s="5"/>
    </row>
    <row r="7" spans="1:6" ht="16" x14ac:dyDescent="0.2">
      <c r="A7" s="5" t="s">
        <v>277</v>
      </c>
      <c r="B7" s="5" t="s">
        <v>896</v>
      </c>
      <c r="C7" s="5" t="s">
        <v>897</v>
      </c>
      <c r="D7" s="5" t="s">
        <v>182</v>
      </c>
      <c r="E7" s="5" t="s">
        <v>25</v>
      </c>
      <c r="F7" s="5"/>
    </row>
    <row r="8" spans="1:6" ht="16" x14ac:dyDescent="0.2">
      <c r="A8" s="5" t="s">
        <v>335</v>
      </c>
      <c r="B8" s="5" t="s">
        <v>898</v>
      </c>
      <c r="C8" s="5" t="s">
        <v>889</v>
      </c>
      <c r="D8" s="5" t="s">
        <v>339</v>
      </c>
      <c r="E8" s="5" t="s">
        <v>25</v>
      </c>
      <c r="F8" s="5"/>
    </row>
    <row r="9" spans="1:6" ht="16" x14ac:dyDescent="0.2">
      <c r="A9" s="5" t="s">
        <v>358</v>
      </c>
      <c r="B9" s="5" t="s">
        <v>899</v>
      </c>
      <c r="C9" s="5" t="s">
        <v>889</v>
      </c>
      <c r="D9" s="5" t="s">
        <v>55</v>
      </c>
      <c r="E9" s="5" t="s">
        <v>25</v>
      </c>
      <c r="F9" s="5"/>
    </row>
    <row r="10" spans="1:6" ht="16" x14ac:dyDescent="0.2">
      <c r="A10" s="5" t="s">
        <v>358</v>
      </c>
      <c r="B10" s="5" t="s">
        <v>900</v>
      </c>
      <c r="C10" s="5" t="s">
        <v>889</v>
      </c>
      <c r="D10" s="5" t="s">
        <v>55</v>
      </c>
      <c r="E10" s="5" t="s">
        <v>25</v>
      </c>
      <c r="F10" s="5"/>
    </row>
    <row r="11" spans="1:6" ht="16" x14ac:dyDescent="0.2">
      <c r="A11" s="5" t="s">
        <v>901</v>
      </c>
      <c r="B11" s="5" t="s">
        <v>902</v>
      </c>
      <c r="C11" s="5" t="s">
        <v>897</v>
      </c>
      <c r="D11" s="5" t="s">
        <v>390</v>
      </c>
      <c r="E11" s="5" t="s">
        <v>25</v>
      </c>
      <c r="F11" s="5"/>
    </row>
  </sheetData>
  <autoFilter ref="A1:F11" xr:uid="{00000000-0009-0000-0000-00000C000000}"/>
  <conditionalFormatting sqref="E2:E11">
    <cfRule type="expression" dxfId="4" priority="1">
      <formula>$E2="Done"</formula>
    </cfRule>
    <cfRule type="expression" dxfId="3" priority="2">
      <formula>$E2="In Progress"</formula>
    </cfRule>
    <cfRule type="expression" dxfId="2" priority="3">
      <formula>$E2="Blocked"</formula>
    </cfRule>
    <cfRule type="expression" dxfId="1" priority="4">
      <formula>$E2="Review"</formula>
    </cfRule>
    <cfRule type="expression" dxfId="0" priority="5">
      <formula>$E2="Todo"</formula>
    </cfRule>
  </conditionalFormatting>
  <dataValidations count="1">
    <dataValidation type="list" allowBlank="1" sqref="E2:E11" xr:uid="{00000000-0002-0000-0C00-000000000000}">
      <formula1>"Todo,In Progress,Blocked,Review,Done"</formula1>
    </dataValidation>
  </dataValidations>
  <pageMargins left="0.75" right="0.75" top="1" bottom="1" header="0.5" footer="0.5"/>
  <pageSetup fitToHeight="0"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Start Here</vt:lpstr>
      <vt:lpstr>Dashboard</vt:lpstr>
      <vt:lpstr>Backlog</vt:lpstr>
      <vt:lpstr>Sprint Board</vt:lpstr>
      <vt:lpstr>Timeline + Gantt</vt:lpstr>
      <vt:lpstr>Dependencies</vt:lpstr>
      <vt:lpstr>IntelliJ Coding Tasks</vt:lpstr>
      <vt:lpstr>File-Class Map</vt:lpstr>
      <vt:lpstr>API Contracts</vt:lpstr>
      <vt:lpstr>DB Schema + RLS</vt:lpstr>
      <vt:lpstr>UI Screens</vt:lpstr>
      <vt:lpstr>Risks &amp; Decisions</vt:lpstr>
      <vt:lpstr>Release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IAMONIT Project Control Workbook</dc:title>
  <dc:creator>OpenAI ChatGPT</dc:creator>
  <cp:lastModifiedBy>Andualem Alemu</cp:lastModifiedBy>
  <dcterms:created xsi:type="dcterms:W3CDTF">2026-05-09T20:04:27Z</dcterms:created>
  <dcterms:modified xsi:type="dcterms:W3CDTF">2026-08-04T23:59:53Z</dcterms:modified>
</cp:coreProperties>
</file>